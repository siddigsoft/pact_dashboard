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WFP TPM\2025\September 2025\"/>
    </mc:Choice>
  </mc:AlternateContent>
  <xr:revisionPtr revIDLastSave="0" documentId="13_ncr:1_{BA3C8535-E5A3-43AD-B37E-AF279E071B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ctober 2025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" i="2" l="1"/>
  <c r="N54" i="2"/>
  <c r="N49" i="2"/>
  <c r="H141" i="2"/>
  <c r="H134" i="2"/>
  <c r="I102" i="2"/>
  <c r="J102" i="2"/>
  <c r="K102" i="2"/>
  <c r="E102" i="2"/>
  <c r="F68" i="2"/>
  <c r="F73" i="2"/>
  <c r="G73" i="2"/>
  <c r="X80" i="2"/>
  <c r="Y80" i="2"/>
  <c r="X81" i="2"/>
  <c r="Y81" i="2"/>
  <c r="Z81" i="2"/>
  <c r="N72" i="2"/>
  <c r="N80" i="2"/>
  <c r="E72" i="2"/>
  <c r="R60" i="2"/>
  <c r="S60" i="2"/>
  <c r="T60" i="2" s="1"/>
  <c r="R61" i="2"/>
  <c r="S61" i="2"/>
  <c r="Q54" i="2"/>
  <c r="J92" i="2"/>
  <c r="I92" i="2"/>
  <c r="J89" i="2"/>
  <c r="I89" i="2"/>
  <c r="H89" i="2"/>
  <c r="H92" i="2"/>
  <c r="H100" i="2"/>
  <c r="W80" i="2"/>
  <c r="K80" i="2"/>
  <c r="H80" i="2"/>
  <c r="Z80" i="2" l="1"/>
  <c r="T61" i="2"/>
  <c r="K92" i="2"/>
  <c r="K89" i="2"/>
  <c r="T72" i="2" l="1"/>
  <c r="T69" i="2"/>
  <c r="W69" i="2"/>
  <c r="K49" i="2" l="1"/>
  <c r="E89" i="2"/>
  <c r="I100" i="2"/>
  <c r="J100" i="2"/>
  <c r="E130" i="2"/>
  <c r="K100" i="2" l="1"/>
  <c r="I12" i="2"/>
  <c r="I131" i="2"/>
  <c r="O7" i="2" s="1"/>
  <c r="J131" i="2"/>
  <c r="I132" i="2"/>
  <c r="J132" i="2"/>
  <c r="P8" i="2" s="1"/>
  <c r="S8" i="2" s="1"/>
  <c r="O9" i="2"/>
  <c r="P9" i="2"/>
  <c r="O8" i="2"/>
  <c r="L12" i="2"/>
  <c r="M12" i="2"/>
  <c r="O12" i="2"/>
  <c r="P12" i="2"/>
  <c r="I13" i="2"/>
  <c r="J13" i="2"/>
  <c r="L13" i="2"/>
  <c r="M13" i="2"/>
  <c r="O13" i="2"/>
  <c r="P13" i="2"/>
  <c r="I14" i="2"/>
  <c r="J14" i="2"/>
  <c r="O14" i="2"/>
  <c r="P14" i="2"/>
  <c r="I15" i="2"/>
  <c r="J15" i="2"/>
  <c r="L15" i="2"/>
  <c r="M15" i="2"/>
  <c r="O15" i="2"/>
  <c r="P15" i="2"/>
  <c r="I16" i="2"/>
  <c r="J16" i="2"/>
  <c r="L16" i="2"/>
  <c r="M16" i="2"/>
  <c r="O16" i="2"/>
  <c r="P16" i="2"/>
  <c r="I7" i="2"/>
  <c r="J7" i="2"/>
  <c r="I8" i="2"/>
  <c r="J8" i="2"/>
  <c r="F7" i="2"/>
  <c r="G7" i="2"/>
  <c r="F8" i="2"/>
  <c r="G8" i="2"/>
  <c r="C7" i="2"/>
  <c r="D7" i="2"/>
  <c r="C8" i="2"/>
  <c r="D8" i="2"/>
  <c r="F12" i="2"/>
  <c r="G12" i="2"/>
  <c r="F13" i="2"/>
  <c r="G13" i="2"/>
  <c r="F14" i="2"/>
  <c r="G14" i="2"/>
  <c r="F15" i="2"/>
  <c r="G15" i="2"/>
  <c r="F16" i="2"/>
  <c r="G16" i="2"/>
  <c r="C12" i="2"/>
  <c r="D12" i="2"/>
  <c r="C13" i="2"/>
  <c r="D13" i="2"/>
  <c r="C14" i="2"/>
  <c r="D14" i="2"/>
  <c r="C16" i="2"/>
  <c r="D16" i="2"/>
  <c r="J53" i="2"/>
  <c r="I53" i="2"/>
  <c r="P7" i="2" l="1"/>
  <c r="K131" i="2"/>
  <c r="J12" i="2"/>
  <c r="S12" i="2" s="1"/>
  <c r="R16" i="2"/>
  <c r="R12" i="2"/>
  <c r="R13" i="2"/>
  <c r="S7" i="2"/>
  <c r="R8" i="2"/>
  <c r="R7" i="2"/>
  <c r="T8" i="2"/>
  <c r="K132" i="2"/>
  <c r="S16" i="2"/>
  <c r="S13" i="2"/>
  <c r="T12" i="2" l="1"/>
  <c r="K54" i="2"/>
  <c r="I120" i="2"/>
  <c r="J120" i="2"/>
  <c r="H109" i="2"/>
  <c r="E109" i="2"/>
  <c r="K120" i="2" l="1"/>
  <c r="H94" i="2" l="1"/>
  <c r="E54" i="2" l="1"/>
  <c r="D41" i="2" l="1"/>
  <c r="O20" i="2" l="1"/>
  <c r="R20" i="2" s="1"/>
  <c r="C41" i="2"/>
  <c r="P20" i="2"/>
  <c r="S20" i="2" l="1"/>
  <c r="T20" i="2" s="1"/>
  <c r="I141" i="2"/>
  <c r="J141" i="2"/>
  <c r="J135" i="2"/>
  <c r="I135" i="2"/>
  <c r="J130" i="2"/>
  <c r="I130" i="2"/>
  <c r="K130" i="2" l="1"/>
  <c r="K135" i="2"/>
  <c r="K141" i="2"/>
  <c r="E69" i="2"/>
  <c r="H130" i="2" l="1"/>
  <c r="H135" i="2"/>
  <c r="I9" i="2" l="1"/>
  <c r="J9" i="2"/>
  <c r="H54" i="2"/>
  <c r="L14" i="2"/>
  <c r="M14" i="2"/>
  <c r="S14" i="2" s="1"/>
  <c r="L17" i="2"/>
  <c r="M17" i="2"/>
  <c r="G134" i="2"/>
  <c r="F134" i="2"/>
  <c r="D134" i="2"/>
  <c r="C134" i="2"/>
  <c r="G129" i="2"/>
  <c r="F129" i="2"/>
  <c r="D129" i="2"/>
  <c r="C129" i="2"/>
  <c r="J114" i="2"/>
  <c r="I114" i="2"/>
  <c r="L11" i="2" s="1"/>
  <c r="H114" i="2"/>
  <c r="E114" i="2"/>
  <c r="G113" i="2"/>
  <c r="F113" i="2"/>
  <c r="D113" i="2"/>
  <c r="C113" i="2"/>
  <c r="J109" i="2"/>
  <c r="M6" i="2" s="1"/>
  <c r="I109" i="2"/>
  <c r="L6" i="2" s="1"/>
  <c r="G108" i="2"/>
  <c r="F108" i="2"/>
  <c r="D108" i="2"/>
  <c r="C108" i="2"/>
  <c r="J94" i="2"/>
  <c r="I94" i="2"/>
  <c r="I11" i="2" s="1"/>
  <c r="E94" i="2"/>
  <c r="G93" i="2"/>
  <c r="F93" i="2"/>
  <c r="D93" i="2"/>
  <c r="C93" i="2"/>
  <c r="J6" i="2"/>
  <c r="I6" i="2"/>
  <c r="G88" i="2"/>
  <c r="F88" i="2"/>
  <c r="D88" i="2"/>
  <c r="C88" i="2"/>
  <c r="H19" i="2"/>
  <c r="F19" i="2"/>
  <c r="G18" i="2"/>
  <c r="S18" i="2" s="1"/>
  <c r="D39" i="2" s="1"/>
  <c r="F18" i="2"/>
  <c r="R18" i="2" s="1"/>
  <c r="C39" i="2" s="1"/>
  <c r="Y74" i="2"/>
  <c r="G11" i="2" s="1"/>
  <c r="X74" i="2"/>
  <c r="F11" i="2" s="1"/>
  <c r="W74" i="2"/>
  <c r="T74" i="2"/>
  <c r="Q74" i="2"/>
  <c r="N74" i="2"/>
  <c r="K74" i="2"/>
  <c r="H74" i="2"/>
  <c r="E74" i="2"/>
  <c r="V73" i="2"/>
  <c r="U73" i="2"/>
  <c r="S73" i="2"/>
  <c r="R73" i="2"/>
  <c r="P73" i="2"/>
  <c r="O73" i="2"/>
  <c r="M73" i="2"/>
  <c r="L73" i="2"/>
  <c r="J73" i="2"/>
  <c r="I73" i="2"/>
  <c r="D73" i="2"/>
  <c r="C73" i="2"/>
  <c r="Y72" i="2"/>
  <c r="G9" i="2" s="1"/>
  <c r="X72" i="2"/>
  <c r="F9" i="2" s="1"/>
  <c r="Q72" i="2"/>
  <c r="H72" i="2"/>
  <c r="Y69" i="2"/>
  <c r="G6" i="2" s="1"/>
  <c r="X69" i="2"/>
  <c r="F6" i="2" s="1"/>
  <c r="Q69" i="2"/>
  <c r="N69" i="2"/>
  <c r="K69" i="2"/>
  <c r="H69" i="2"/>
  <c r="V68" i="2"/>
  <c r="U68" i="2"/>
  <c r="S68" i="2"/>
  <c r="R68" i="2"/>
  <c r="P68" i="2"/>
  <c r="O68" i="2"/>
  <c r="M68" i="2"/>
  <c r="L68" i="2"/>
  <c r="J68" i="2"/>
  <c r="I68" i="2"/>
  <c r="G68" i="2"/>
  <c r="D68" i="2"/>
  <c r="C68" i="2"/>
  <c r="D19" i="2"/>
  <c r="C19" i="2"/>
  <c r="C17" i="2"/>
  <c r="D15" i="2"/>
  <c r="C15" i="2"/>
  <c r="R15" i="2" s="1"/>
  <c r="S54" i="2"/>
  <c r="D11" i="2" s="1"/>
  <c r="R54" i="2"/>
  <c r="C11" i="2" s="1"/>
  <c r="P53" i="2"/>
  <c r="O53" i="2"/>
  <c r="M53" i="2"/>
  <c r="L53" i="2"/>
  <c r="G53" i="2"/>
  <c r="F53" i="2"/>
  <c r="D53" i="2"/>
  <c r="C53" i="2"/>
  <c r="S52" i="2"/>
  <c r="D9" i="2" s="1"/>
  <c r="R52" i="2"/>
  <c r="S49" i="2"/>
  <c r="D6" i="2" s="1"/>
  <c r="R49" i="2"/>
  <c r="C6" i="2" s="1"/>
  <c r="H49" i="2"/>
  <c r="E49" i="2"/>
  <c r="P48" i="2"/>
  <c r="O48" i="2"/>
  <c r="M48" i="2"/>
  <c r="L48" i="2"/>
  <c r="J48" i="2"/>
  <c r="I48" i="2"/>
  <c r="G48" i="2"/>
  <c r="F48" i="2"/>
  <c r="D48" i="2"/>
  <c r="C48" i="2"/>
  <c r="D28" i="2"/>
  <c r="C28" i="2"/>
  <c r="D42" i="2"/>
  <c r="C42" i="2"/>
  <c r="Q19" i="2"/>
  <c r="P19" i="2"/>
  <c r="O19" i="2"/>
  <c r="N19" i="2"/>
  <c r="M19" i="2"/>
  <c r="L19" i="2"/>
  <c r="K19" i="2"/>
  <c r="J19" i="2"/>
  <c r="I19" i="2"/>
  <c r="G19" i="2"/>
  <c r="P17" i="2"/>
  <c r="O17" i="2"/>
  <c r="J17" i="2"/>
  <c r="I17" i="2"/>
  <c r="G17" i="2"/>
  <c r="F17" i="2"/>
  <c r="O11" i="2"/>
  <c r="M9" i="2"/>
  <c r="L9" i="2"/>
  <c r="M8" i="2"/>
  <c r="L8" i="2"/>
  <c r="C29" i="2"/>
  <c r="M7" i="2"/>
  <c r="L7" i="2"/>
  <c r="P6" i="2"/>
  <c r="O6" i="2"/>
  <c r="O63" i="2" l="1"/>
  <c r="E129" i="2"/>
  <c r="I129" i="2"/>
  <c r="O5" i="2" s="1"/>
  <c r="H108" i="2"/>
  <c r="N14" i="2"/>
  <c r="R14" i="2"/>
  <c r="T14" i="2" s="1"/>
  <c r="E39" i="2"/>
  <c r="E15" i="2"/>
  <c r="S15" i="2"/>
  <c r="T15" i="2" s="1"/>
  <c r="E88" i="2"/>
  <c r="H88" i="2"/>
  <c r="C145" i="2"/>
  <c r="P63" i="2"/>
  <c r="Q63" i="2" s="1"/>
  <c r="F145" i="2"/>
  <c r="N17" i="2"/>
  <c r="N6" i="2"/>
  <c r="T52" i="2"/>
  <c r="C9" i="2"/>
  <c r="R9" i="2" s="1"/>
  <c r="C30" i="2" s="1"/>
  <c r="S83" i="2"/>
  <c r="R83" i="2"/>
  <c r="G145" i="2"/>
  <c r="J134" i="2"/>
  <c r="P10" i="2" s="1"/>
  <c r="F124" i="2"/>
  <c r="J88" i="2"/>
  <c r="J5" i="2" s="1"/>
  <c r="F103" i="2"/>
  <c r="G103" i="2"/>
  <c r="I93" i="2"/>
  <c r="I10" i="2" s="1"/>
  <c r="D103" i="2"/>
  <c r="V83" i="2"/>
  <c r="P83" i="2"/>
  <c r="K68" i="2"/>
  <c r="E19" i="2"/>
  <c r="J63" i="2"/>
  <c r="E53" i="2"/>
  <c r="L83" i="2"/>
  <c r="N68" i="2"/>
  <c r="S9" i="2"/>
  <c r="D30" i="2" s="1"/>
  <c r="H9" i="2"/>
  <c r="Z72" i="2"/>
  <c r="C83" i="2"/>
  <c r="U83" i="2"/>
  <c r="Q68" i="2"/>
  <c r="X68" i="2"/>
  <c r="F5" i="2" s="1"/>
  <c r="H6" i="2"/>
  <c r="T18" i="2"/>
  <c r="W73" i="2"/>
  <c r="Q73" i="2"/>
  <c r="O83" i="2"/>
  <c r="N73" i="2"/>
  <c r="I83" i="2"/>
  <c r="K73" i="2"/>
  <c r="H11" i="2"/>
  <c r="G83" i="2"/>
  <c r="X73" i="2"/>
  <c r="F10" i="2" s="1"/>
  <c r="E73" i="2"/>
  <c r="Y73" i="2"/>
  <c r="G10" i="2" s="1"/>
  <c r="D83" i="2"/>
  <c r="E134" i="2"/>
  <c r="H129" i="2"/>
  <c r="Q6" i="2"/>
  <c r="Q17" i="2"/>
  <c r="K9" i="2"/>
  <c r="K94" i="2"/>
  <c r="J11" i="2"/>
  <c r="K11" i="2" s="1"/>
  <c r="C103" i="2"/>
  <c r="E93" i="2"/>
  <c r="H93" i="2"/>
  <c r="T49" i="2"/>
  <c r="R48" i="2"/>
  <c r="G63" i="2"/>
  <c r="S48" i="2"/>
  <c r="D5" i="2" s="1"/>
  <c r="C63" i="2"/>
  <c r="L63" i="2"/>
  <c r="K53" i="2"/>
  <c r="N53" i="2"/>
  <c r="M63" i="2"/>
  <c r="H53" i="2"/>
  <c r="T54" i="2"/>
  <c r="R53" i="2"/>
  <c r="C10" i="2" s="1"/>
  <c r="F63" i="2"/>
  <c r="D40" i="2"/>
  <c r="R17" i="2"/>
  <c r="C38" i="2" s="1"/>
  <c r="C40" i="2"/>
  <c r="I113" i="2"/>
  <c r="L10" i="2" s="1"/>
  <c r="D124" i="2"/>
  <c r="E113" i="2"/>
  <c r="J113" i="2"/>
  <c r="M10" i="2" s="1"/>
  <c r="R11" i="2"/>
  <c r="C32" i="2" s="1"/>
  <c r="C124" i="2"/>
  <c r="K114" i="2"/>
  <c r="D29" i="2"/>
  <c r="E29" i="2" s="1"/>
  <c r="S6" i="2"/>
  <c r="R6" i="2"/>
  <c r="C27" i="2" s="1"/>
  <c r="T73" i="2"/>
  <c r="D145" i="2"/>
  <c r="J83" i="2"/>
  <c r="E6" i="2"/>
  <c r="S53" i="2"/>
  <c r="Y68" i="2"/>
  <c r="Z69" i="2"/>
  <c r="Z74" i="2"/>
  <c r="H18" i="2"/>
  <c r="E108" i="2"/>
  <c r="G124" i="2"/>
  <c r="I134" i="2"/>
  <c r="E11" i="2"/>
  <c r="M11" i="2"/>
  <c r="N11" i="2" s="1"/>
  <c r="N48" i="2"/>
  <c r="I63" i="2"/>
  <c r="H68" i="2"/>
  <c r="M83" i="2"/>
  <c r="J93" i="2"/>
  <c r="H113" i="2"/>
  <c r="F83" i="2"/>
  <c r="P11" i="2"/>
  <c r="Q11" i="2" s="1"/>
  <c r="D17" i="2"/>
  <c r="D63" i="2"/>
  <c r="H73" i="2"/>
  <c r="I108" i="2"/>
  <c r="J129" i="2"/>
  <c r="I88" i="2"/>
  <c r="J108" i="2"/>
  <c r="T83" i="2" l="1"/>
  <c r="J103" i="2"/>
  <c r="K88" i="2"/>
  <c r="E145" i="2"/>
  <c r="K63" i="2"/>
  <c r="E124" i="2"/>
  <c r="H124" i="2"/>
  <c r="J145" i="2"/>
  <c r="H145" i="2"/>
  <c r="E83" i="2"/>
  <c r="H103" i="2"/>
  <c r="E103" i="2"/>
  <c r="W83" i="2"/>
  <c r="Q83" i="2"/>
  <c r="N83" i="2"/>
  <c r="H83" i="2"/>
  <c r="N63" i="2"/>
  <c r="T48" i="2"/>
  <c r="E30" i="2"/>
  <c r="K83" i="2"/>
  <c r="Z73" i="2"/>
  <c r="F23" i="2"/>
  <c r="X83" i="2"/>
  <c r="H10" i="2"/>
  <c r="T9" i="2"/>
  <c r="H63" i="2"/>
  <c r="E63" i="2"/>
  <c r="C5" i="2"/>
  <c r="C23" i="2" s="1"/>
  <c r="R63" i="2"/>
  <c r="N10" i="2"/>
  <c r="K113" i="2"/>
  <c r="L5" i="2"/>
  <c r="L23" i="2" s="1"/>
  <c r="I124" i="2"/>
  <c r="D27" i="2"/>
  <c r="E27" i="2" s="1"/>
  <c r="T6" i="2"/>
  <c r="S11" i="2"/>
  <c r="D10" i="2"/>
  <c r="T53" i="2"/>
  <c r="K134" i="2"/>
  <c r="O10" i="2"/>
  <c r="O23" i="2" s="1"/>
  <c r="E17" i="2"/>
  <c r="S17" i="2"/>
  <c r="S63" i="2"/>
  <c r="I103" i="2"/>
  <c r="I5" i="2"/>
  <c r="I23" i="2" s="1"/>
  <c r="Y83" i="2"/>
  <c r="Z68" i="2"/>
  <c r="G5" i="2"/>
  <c r="G23" i="2" s="1"/>
  <c r="J10" i="2"/>
  <c r="K10" i="2" s="1"/>
  <c r="K93" i="2"/>
  <c r="K108" i="2"/>
  <c r="J124" i="2"/>
  <c r="M5" i="2"/>
  <c r="K129" i="2"/>
  <c r="P5" i="2"/>
  <c r="I145" i="2"/>
  <c r="K103" i="2" l="1"/>
  <c r="R5" i="2"/>
  <c r="C26" i="2" s="1"/>
  <c r="S5" i="2"/>
  <c r="J23" i="2"/>
  <c r="K23" i="2" s="1"/>
  <c r="E5" i="2"/>
  <c r="Z83" i="2"/>
  <c r="K145" i="2"/>
  <c r="T63" i="2"/>
  <c r="K124" i="2"/>
  <c r="Q5" i="2"/>
  <c r="P23" i="2"/>
  <c r="Q23" i="2" s="1"/>
  <c r="E10" i="2"/>
  <c r="S10" i="2"/>
  <c r="D32" i="2"/>
  <c r="E32" i="2" s="1"/>
  <c r="T11" i="2"/>
  <c r="T17" i="2"/>
  <c r="D38" i="2"/>
  <c r="E38" i="2" s="1"/>
  <c r="N5" i="2"/>
  <c r="M23" i="2"/>
  <c r="N23" i="2" s="1"/>
  <c r="H23" i="2"/>
  <c r="H5" i="2"/>
  <c r="D23" i="2"/>
  <c r="E23" i="2" s="1"/>
  <c r="R10" i="2"/>
  <c r="C31" i="2" s="1"/>
  <c r="Q10" i="2"/>
  <c r="T5" i="2" l="1"/>
  <c r="D26" i="2"/>
  <c r="E26" i="2" s="1"/>
  <c r="C43" i="2"/>
  <c r="D31" i="2"/>
  <c r="E31" i="2" s="1"/>
  <c r="T10" i="2"/>
  <c r="S23" i="2"/>
  <c r="R23" i="2"/>
  <c r="D43" i="2" l="1"/>
  <c r="E43" i="2" s="1"/>
  <c r="T23" i="2"/>
</calcChain>
</file>

<file path=xl/sharedStrings.xml><?xml version="1.0" encoding="utf-8"?>
<sst xmlns="http://schemas.openxmlformats.org/spreadsheetml/2006/main" count="283" uniqueCount="85">
  <si>
    <t xml:space="preserve">PACT Monthly Coverage tracker WFP TPM </t>
  </si>
  <si>
    <t>Type of Monitoring</t>
  </si>
  <si>
    <t>Kassala Hub</t>
  </si>
  <si>
    <t>Kosti Hub</t>
  </si>
  <si>
    <t>Forchana Hub</t>
  </si>
  <si>
    <t>Dongola Hub</t>
  </si>
  <si>
    <t>Country Office (CO)</t>
  </si>
  <si>
    <t>CO Overall</t>
  </si>
  <si>
    <t>P</t>
  </si>
  <si>
    <t>A</t>
  </si>
  <si>
    <t>%</t>
  </si>
  <si>
    <r>
      <rPr>
        <b/>
        <sz val="12"/>
        <color rgb="FF000000"/>
        <rFont val="Georgia"/>
        <family val="1"/>
      </rPr>
      <t>DM:</t>
    </r>
    <r>
      <rPr>
        <sz val="12"/>
        <color rgb="FF000000"/>
        <rFont val="Georgia"/>
        <family val="1"/>
      </rPr>
      <t xml:space="preserve"> </t>
    </r>
  </si>
  <si>
    <t>GFA In-Kind</t>
  </si>
  <si>
    <t>GFA CBT</t>
  </si>
  <si>
    <t>e-BSFP</t>
  </si>
  <si>
    <t xml:space="preserve">PDM </t>
  </si>
  <si>
    <t>AM:</t>
  </si>
  <si>
    <t>TSFP</t>
  </si>
  <si>
    <t>PSN</t>
  </si>
  <si>
    <t>FFA</t>
  </si>
  <si>
    <t>SF</t>
  </si>
  <si>
    <t>THR</t>
  </si>
  <si>
    <t xml:space="preserve">PHL </t>
  </si>
  <si>
    <t>MDM</t>
  </si>
  <si>
    <t>Warehouse</t>
  </si>
  <si>
    <t xml:space="preserve"> RPME</t>
  </si>
  <si>
    <t>Hot meal Khartoum</t>
  </si>
  <si>
    <t>SO3 OM 480</t>
  </si>
  <si>
    <t>Total</t>
  </si>
  <si>
    <t>Total Plan</t>
  </si>
  <si>
    <t xml:space="preserve">Total Actual </t>
  </si>
  <si>
    <t>1. Fill the cells in White.</t>
  </si>
  <si>
    <t>2. Take note of each activity that used the wrong tools as we agreed.</t>
  </si>
  <si>
    <t>3. Highlight the sites which need more clarification or adjustments in yellow in the raw data file.</t>
  </si>
  <si>
    <t>4. Fill out the sites and activities for each enumerator in the Second sheet  fees).</t>
  </si>
  <si>
    <t>5. For PDM take note of if the sites have less than 5 questionnaires (take note of that and mark it in yellow)</t>
  </si>
  <si>
    <t>6. Ensure to count the sites from Column (T) and cross-check with Column ®</t>
  </si>
  <si>
    <t xml:space="preserve">7. Also for GFA and Market Diviersion take note(Count) of each sites how many questionnaires </t>
  </si>
  <si>
    <t>DM SEWPP</t>
  </si>
  <si>
    <t xml:space="preserve">Kassala Hub </t>
  </si>
  <si>
    <t xml:space="preserve">Done </t>
  </si>
  <si>
    <t xml:space="preserve">AL Gazira State </t>
  </si>
  <si>
    <t xml:space="preserve"> Blue Nile State </t>
  </si>
  <si>
    <t xml:space="preserve">Gadarif State </t>
  </si>
  <si>
    <t xml:space="preserve">Kassala State </t>
  </si>
  <si>
    <t xml:space="preserve">Sennar State </t>
  </si>
  <si>
    <t xml:space="preserve">DM: </t>
  </si>
  <si>
    <t>East Darfur State</t>
  </si>
  <si>
    <t>North Darfur State</t>
  </si>
  <si>
    <t>North Kordofan State</t>
  </si>
  <si>
    <t>South Darfur</t>
  </si>
  <si>
    <t>South Kordofan State</t>
  </si>
  <si>
    <t>West Kordofafn State</t>
  </si>
  <si>
    <t>White Nile State</t>
  </si>
  <si>
    <r>
      <rPr>
        <b/>
        <sz val="12"/>
        <color rgb="FFFF0000"/>
        <rFont val="Georgia"/>
        <family val="1"/>
      </rPr>
      <t>DM:</t>
    </r>
    <r>
      <rPr>
        <sz val="12"/>
        <color rgb="FFFF0000"/>
        <rFont val="Georgia"/>
        <family val="1"/>
      </rPr>
      <t xml:space="preserve"> </t>
    </r>
  </si>
  <si>
    <t>Done</t>
  </si>
  <si>
    <t>West Darfur</t>
  </si>
  <si>
    <t>Central Darfur</t>
  </si>
  <si>
    <t xml:space="preserve">GFA In-Kind </t>
  </si>
  <si>
    <t>Northen State</t>
  </si>
  <si>
    <t>Revier Nile State</t>
  </si>
  <si>
    <t>Red Sea State</t>
  </si>
  <si>
    <t>Khartoum  State</t>
  </si>
  <si>
    <t>RPME</t>
  </si>
  <si>
    <t xml:space="preserve">Post Harvest </t>
  </si>
  <si>
    <t>6 no6 active TSFP</t>
  </si>
  <si>
    <t xml:space="preserve">11 October till 10 November 2025 all activies </t>
  </si>
  <si>
    <t>191 wd q</t>
  </si>
  <si>
    <t>11 oct 10 nov</t>
  </si>
  <si>
    <t>PDM ND 30Q</t>
  </si>
  <si>
    <t xml:space="preserve">PDM 5Q </t>
  </si>
  <si>
    <t>PDM 5 SITES 75Q</t>
  </si>
  <si>
    <t>6 - 5 Nove DM 7-15 Nov</t>
  </si>
  <si>
    <t>4 Nov- 13 Nov</t>
  </si>
  <si>
    <t>kass</t>
  </si>
  <si>
    <t>BN</t>
  </si>
  <si>
    <t>NOV</t>
  </si>
  <si>
    <t>GZ</t>
  </si>
  <si>
    <t>State</t>
  </si>
  <si>
    <t>Gadaref</t>
  </si>
  <si>
    <t>oct</t>
  </si>
  <si>
    <t>Sinnar</t>
  </si>
  <si>
    <t>Dongla</t>
  </si>
  <si>
    <t>GFA</t>
  </si>
  <si>
    <t>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</si>
</sst>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sz val="11"/>
      <name val="Calibri"/>
      <family val="2"/>
    </font>
    <font>
      <b/>
      <sz val="12"/>
      <color rgb="FF000000"/>
      <name val="Georgia"/>
      <family val="1"/>
    </font>
    <font>
      <sz val="12"/>
      <color rgb="FF000000"/>
      <name val="Georgia"/>
      <family val="1"/>
    </font>
    <font>
      <sz val="11"/>
      <color theme="1"/>
      <name val="Georgia"/>
      <family val="1"/>
    </font>
    <font>
      <b/>
      <sz val="12"/>
      <color theme="1"/>
      <name val="Calibri"/>
      <family val="2"/>
    </font>
    <font>
      <sz val="12"/>
      <color theme="1"/>
      <name val="Georgia"/>
      <family val="1"/>
    </font>
    <font>
      <b/>
      <sz val="11"/>
      <color theme="1"/>
      <name val="Georgia"/>
      <family val="1"/>
    </font>
    <font>
      <b/>
      <sz val="28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Georgia"/>
      <family val="1"/>
    </font>
    <font>
      <b/>
      <sz val="12"/>
      <color rgb="FFFF0000"/>
      <name val="Georgia"/>
      <family val="1"/>
    </font>
    <font>
      <sz val="12"/>
      <color rgb="FFFF0000"/>
      <name val="Georgia"/>
      <family val="1"/>
    </font>
    <font>
      <sz val="11"/>
      <color rgb="FFFF0000"/>
      <name val="Georgia"/>
      <family val="1"/>
    </font>
    <font>
      <b/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548135"/>
        <bgColor rgb="FF548135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 wrapText="1"/>
    </xf>
    <xf numFmtId="9" fontId="6" fillId="3" borderId="8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9" fontId="4" fillId="3" borderId="8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4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9" fontId="8" fillId="3" borderId="9" xfId="0" applyNumberFormat="1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center" wrapText="1"/>
    </xf>
    <xf numFmtId="9" fontId="4" fillId="3" borderId="9" xfId="0" applyNumberFormat="1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1" fillId="0" borderId="0" xfId="0" applyFont="1"/>
    <xf numFmtId="0" fontId="12" fillId="3" borderId="8" xfId="0" applyFont="1" applyFill="1" applyBorder="1" applyAlignment="1">
      <alignment horizontal="center" vertical="center" wrapText="1"/>
    </xf>
    <xf numFmtId="9" fontId="12" fillId="3" borderId="8" xfId="0" applyNumberFormat="1" applyFont="1" applyFill="1" applyBorder="1" applyAlignment="1">
      <alignment horizontal="center" vertical="center" wrapText="1"/>
    </xf>
    <xf numFmtId="9" fontId="9" fillId="3" borderId="8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3" fillId="3" borderId="7" xfId="0" applyFont="1" applyFill="1" applyBorder="1" applyAlignment="1">
      <alignment vertical="center" wrapText="1"/>
    </xf>
    <xf numFmtId="9" fontId="15" fillId="3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9" fillId="3" borderId="3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7" xfId="0" applyFont="1" applyBorder="1"/>
    <xf numFmtId="0" fontId="9" fillId="3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6" fillId="5" borderId="3" xfId="0" applyFont="1" applyFill="1" applyBorder="1" applyAlignment="1">
      <alignment horizontal="center" vertical="center" textRotation="180"/>
    </xf>
    <xf numFmtId="0" fontId="16" fillId="5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textRotation="180"/>
    </xf>
    <xf numFmtId="0" fontId="4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1" fillId="0" borderId="10" xfId="0" applyFont="1" applyBorder="1" applyAlignment="1">
      <alignment vertical="center"/>
    </xf>
    <xf numFmtId="0" fontId="3" fillId="0" borderId="11" xfId="0" applyFont="1" applyBorder="1"/>
    <xf numFmtId="0" fontId="3" fillId="0" borderId="12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1" xfId="0" applyFont="1" applyBorder="1"/>
    <xf numFmtId="0" fontId="1" fillId="2" borderId="2" xfId="0" applyFont="1" applyFill="1" applyBorder="1" applyAlignment="1">
      <alignment horizontal="center"/>
    </xf>
    <xf numFmtId="0" fontId="3" fillId="0" borderId="2" xfId="0" applyFont="1" applyBorder="1"/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999"/>
  <sheetViews>
    <sheetView tabSelected="1" topLeftCell="A104" zoomScale="83" zoomScaleNormal="70" workbookViewId="0">
      <selection activeCell="N120" sqref="N120"/>
    </sheetView>
  </sheetViews>
  <sheetFormatPr defaultColWidth="14.453125" defaultRowHeight="15" customHeight="1" x14ac:dyDescent="0.35"/>
  <cols>
    <col min="1" max="1" width="4.6328125" customWidth="1"/>
    <col min="2" max="2" width="36" customWidth="1"/>
    <col min="3" max="4" width="8.90625" customWidth="1"/>
    <col min="5" max="5" width="11.54296875" customWidth="1"/>
    <col min="6" max="6" width="10.90625" customWidth="1"/>
    <col min="7" max="7" width="10.6328125" customWidth="1"/>
    <col min="8" max="8" width="11.54296875" customWidth="1"/>
    <col min="9" max="10" width="8.90625" customWidth="1"/>
    <col min="11" max="11" width="11.08984375" customWidth="1"/>
    <col min="12" max="13" width="8.90625" customWidth="1"/>
    <col min="14" max="14" width="10.6328125" customWidth="1"/>
    <col min="15" max="16" width="8.90625" customWidth="1"/>
    <col min="17" max="17" width="10.6328125" customWidth="1"/>
    <col min="18" max="18" width="10.36328125" customWidth="1"/>
    <col min="19" max="19" width="9.54296875" customWidth="1"/>
    <col min="20" max="20" width="10.6328125" customWidth="1"/>
    <col min="21" max="22" width="8.90625" customWidth="1"/>
    <col min="23" max="23" width="12.36328125" customWidth="1"/>
    <col min="24" max="25" width="8.90625" customWidth="1"/>
    <col min="26" max="26" width="10.36328125" customWidth="1"/>
    <col min="27" max="27" width="8.90625" customWidth="1"/>
  </cols>
  <sheetData>
    <row r="1" spans="1:32" ht="14.25" customHeight="1" x14ac:dyDescent="0.35">
      <c r="A1" s="1"/>
      <c r="B1" s="2"/>
      <c r="C1" s="54" t="s">
        <v>0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25" customHeight="1" thickBot="1" x14ac:dyDescent="0.4">
      <c r="A2" s="1"/>
      <c r="B2" s="2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45.75" customHeight="1" thickBot="1" x14ac:dyDescent="0.4">
      <c r="A3" s="57"/>
      <c r="B3" s="59" t="s">
        <v>1</v>
      </c>
      <c r="C3" s="60" t="s">
        <v>2</v>
      </c>
      <c r="D3" s="36"/>
      <c r="E3" s="37"/>
      <c r="F3" s="60" t="s">
        <v>3</v>
      </c>
      <c r="G3" s="36"/>
      <c r="H3" s="37"/>
      <c r="I3" s="60" t="s">
        <v>4</v>
      </c>
      <c r="J3" s="36"/>
      <c r="K3" s="37"/>
      <c r="L3" s="60" t="s">
        <v>5</v>
      </c>
      <c r="M3" s="36"/>
      <c r="N3" s="37"/>
      <c r="O3" s="60" t="s">
        <v>6</v>
      </c>
      <c r="P3" s="36"/>
      <c r="Q3" s="37"/>
      <c r="R3" s="60" t="s">
        <v>7</v>
      </c>
      <c r="S3" s="36"/>
      <c r="T3" s="37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4.25" customHeight="1" thickBot="1" x14ac:dyDescent="0.4">
      <c r="A4" s="58"/>
      <c r="B4" s="34"/>
      <c r="C4" s="3" t="s">
        <v>8</v>
      </c>
      <c r="D4" s="3" t="s">
        <v>9</v>
      </c>
      <c r="E4" s="3" t="s">
        <v>10</v>
      </c>
      <c r="F4" s="3" t="s">
        <v>8</v>
      </c>
      <c r="G4" s="3" t="s">
        <v>9</v>
      </c>
      <c r="H4" s="3" t="s">
        <v>10</v>
      </c>
      <c r="I4" s="3" t="s">
        <v>8</v>
      </c>
      <c r="J4" s="3" t="s">
        <v>9</v>
      </c>
      <c r="K4" s="3" t="s">
        <v>10</v>
      </c>
      <c r="L4" s="3" t="s">
        <v>8</v>
      </c>
      <c r="M4" s="3" t="s">
        <v>9</v>
      </c>
      <c r="N4" s="3" t="s">
        <v>10</v>
      </c>
      <c r="O4" s="3" t="s">
        <v>8</v>
      </c>
      <c r="P4" s="3" t="s">
        <v>9</v>
      </c>
      <c r="Q4" s="3" t="s">
        <v>10</v>
      </c>
      <c r="R4" s="3" t="s">
        <v>8</v>
      </c>
      <c r="S4" s="3" t="s">
        <v>9</v>
      </c>
      <c r="T4" s="3" t="s">
        <v>10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4.25" customHeight="1" thickBot="1" x14ac:dyDescent="0.4">
      <c r="A5" s="58"/>
      <c r="B5" s="4" t="s">
        <v>11</v>
      </c>
      <c r="C5" s="3">
        <f t="shared" ref="C5:D6" si="0">R48</f>
        <v>15</v>
      </c>
      <c r="D5" s="3">
        <f t="shared" si="0"/>
        <v>12</v>
      </c>
      <c r="E5" s="5">
        <f>D5/C5</f>
        <v>0.8</v>
      </c>
      <c r="F5" s="3">
        <f>X68</f>
        <v>95</v>
      </c>
      <c r="G5" s="3">
        <f>Y68</f>
        <v>56</v>
      </c>
      <c r="H5" s="5">
        <f>G5/F5</f>
        <v>0.58947368421052626</v>
      </c>
      <c r="I5" s="3">
        <f>I88</f>
        <v>9</v>
      </c>
      <c r="J5" s="3">
        <f>J88</f>
        <v>9</v>
      </c>
      <c r="K5" s="5"/>
      <c r="L5" s="3">
        <f t="shared" ref="L5:M11" si="1">I108</f>
        <v>10</v>
      </c>
      <c r="M5" s="3">
        <f t="shared" si="1"/>
        <v>10</v>
      </c>
      <c r="N5" s="5">
        <f>M5/L5</f>
        <v>1</v>
      </c>
      <c r="O5" s="3">
        <f t="shared" ref="O5:P6" si="2">I129</f>
        <v>22</v>
      </c>
      <c r="P5" s="3">
        <f t="shared" si="2"/>
        <v>19</v>
      </c>
      <c r="Q5" s="5">
        <f>P5/O5</f>
        <v>0.86363636363636365</v>
      </c>
      <c r="R5" s="3">
        <f>C5+F5+I5+L5+O5</f>
        <v>151</v>
      </c>
      <c r="S5" s="3">
        <f>D5+G5+J5+M5+P5</f>
        <v>106</v>
      </c>
      <c r="T5" s="5">
        <f>S5/R5</f>
        <v>0.70198675496688745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4.25" customHeight="1" thickBot="1" x14ac:dyDescent="0.4">
      <c r="A6" s="58"/>
      <c r="B6" s="6" t="s">
        <v>12</v>
      </c>
      <c r="C6" s="3">
        <f t="shared" si="0"/>
        <v>15</v>
      </c>
      <c r="D6" s="3">
        <f t="shared" si="0"/>
        <v>12</v>
      </c>
      <c r="E6" s="5">
        <f>D6/C6</f>
        <v>0.8</v>
      </c>
      <c r="F6" s="3">
        <f>X69</f>
        <v>95</v>
      </c>
      <c r="G6" s="3">
        <f>Y69</f>
        <v>56</v>
      </c>
      <c r="H6" s="5">
        <f>G6/F6</f>
        <v>0.58947368421052626</v>
      </c>
      <c r="I6" s="3">
        <f>I89</f>
        <v>9</v>
      </c>
      <c r="J6" s="3">
        <f>J89</f>
        <v>9</v>
      </c>
      <c r="K6" s="5"/>
      <c r="L6" s="3">
        <f t="shared" si="1"/>
        <v>10</v>
      </c>
      <c r="M6" s="3">
        <f t="shared" si="1"/>
        <v>10</v>
      </c>
      <c r="N6" s="5">
        <f>M6/L6</f>
        <v>1</v>
      </c>
      <c r="O6" s="3">
        <f t="shared" si="2"/>
        <v>17</v>
      </c>
      <c r="P6" s="3">
        <f t="shared" si="2"/>
        <v>14</v>
      </c>
      <c r="Q6" s="5">
        <f>P6/O6</f>
        <v>0.82352941176470584</v>
      </c>
      <c r="R6" s="3">
        <f>C6+F6+I6+L6+O6</f>
        <v>146</v>
      </c>
      <c r="S6" s="3">
        <f>D6+G6+J6+M6+P6</f>
        <v>101</v>
      </c>
      <c r="T6" s="5">
        <f>S6/R6</f>
        <v>0.69178082191780821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4.25" customHeight="1" thickBot="1" x14ac:dyDescent="0.4">
      <c r="A7" s="58"/>
      <c r="B7" s="6" t="s">
        <v>13</v>
      </c>
      <c r="C7" s="3">
        <f t="shared" ref="C7:C8" si="3">R50</f>
        <v>0</v>
      </c>
      <c r="D7" s="3">
        <f t="shared" ref="D7:D8" si="4">S50</f>
        <v>0</v>
      </c>
      <c r="E7" s="5"/>
      <c r="F7" s="3">
        <f t="shared" ref="F7:G7" si="5">X70</f>
        <v>0</v>
      </c>
      <c r="G7" s="3">
        <f t="shared" si="5"/>
        <v>0</v>
      </c>
      <c r="H7" s="5"/>
      <c r="I7" s="3">
        <f t="shared" ref="I7:J7" si="6">I90</f>
        <v>0</v>
      </c>
      <c r="J7" s="3">
        <f t="shared" si="6"/>
        <v>0</v>
      </c>
      <c r="K7" s="5"/>
      <c r="L7" s="3">
        <f t="shared" si="1"/>
        <v>0</v>
      </c>
      <c r="M7" s="3">
        <f t="shared" si="1"/>
        <v>0</v>
      </c>
      <c r="N7" s="5"/>
      <c r="O7" s="3">
        <f t="shared" ref="O7:O9" si="7">I131</f>
        <v>5</v>
      </c>
      <c r="P7" s="3">
        <f t="shared" ref="P7:P9" si="8">J131</f>
        <v>5</v>
      </c>
      <c r="Q7" s="5"/>
      <c r="R7" s="3">
        <f t="shared" ref="R7:R8" si="9">C7+F7+I7+L7+O7</f>
        <v>5</v>
      </c>
      <c r="S7" s="3">
        <f t="shared" ref="S7:S8" si="10">D7+G7+J7+M7+P7</f>
        <v>5</v>
      </c>
      <c r="T7" s="5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4.25" customHeight="1" thickBot="1" x14ac:dyDescent="0.4">
      <c r="A8" s="58"/>
      <c r="B8" s="6" t="s">
        <v>14</v>
      </c>
      <c r="C8" s="3">
        <f t="shared" si="3"/>
        <v>0</v>
      </c>
      <c r="D8" s="3">
        <f t="shared" si="4"/>
        <v>0</v>
      </c>
      <c r="E8" s="5"/>
      <c r="F8" s="3">
        <f t="shared" ref="F8:G8" si="11">X71</f>
        <v>0</v>
      </c>
      <c r="G8" s="3">
        <f t="shared" si="11"/>
        <v>0</v>
      </c>
      <c r="H8" s="5"/>
      <c r="I8" s="3">
        <f t="shared" ref="I8:J8" si="12">I91</f>
        <v>0</v>
      </c>
      <c r="J8" s="3">
        <f t="shared" si="12"/>
        <v>0</v>
      </c>
      <c r="K8" s="5"/>
      <c r="L8" s="3">
        <f t="shared" si="1"/>
        <v>0</v>
      </c>
      <c r="M8" s="3">
        <f t="shared" si="1"/>
        <v>0</v>
      </c>
      <c r="N8" s="5"/>
      <c r="O8" s="3">
        <f t="shared" si="7"/>
        <v>0</v>
      </c>
      <c r="P8" s="3">
        <f t="shared" si="8"/>
        <v>0</v>
      </c>
      <c r="Q8" s="5"/>
      <c r="R8" s="3">
        <f t="shared" si="9"/>
        <v>0</v>
      </c>
      <c r="S8" s="3">
        <f t="shared" si="10"/>
        <v>0</v>
      </c>
      <c r="T8" s="5" t="e">
        <f>S8/R8</f>
        <v>#DIV/0!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7.5" customHeight="1" thickBot="1" x14ac:dyDescent="0.4">
      <c r="A9" s="58"/>
      <c r="B9" s="4" t="s">
        <v>15</v>
      </c>
      <c r="C9" s="3">
        <f t="shared" ref="C9:D11" si="13">R52</f>
        <v>0</v>
      </c>
      <c r="D9" s="3">
        <f t="shared" si="13"/>
        <v>0</v>
      </c>
      <c r="E9" s="5"/>
      <c r="F9" s="3">
        <f t="shared" ref="F9:G11" si="14">X72</f>
        <v>24</v>
      </c>
      <c r="G9" s="3">
        <f t="shared" si="14"/>
        <v>9</v>
      </c>
      <c r="H9" s="5">
        <f>G9/F9</f>
        <v>0.375</v>
      </c>
      <c r="I9" s="3">
        <f t="shared" ref="I9:J11" si="15">I92</f>
        <v>20</v>
      </c>
      <c r="J9" s="3">
        <f t="shared" si="15"/>
        <v>20</v>
      </c>
      <c r="K9" s="5">
        <f>J9/I9</f>
        <v>1</v>
      </c>
      <c r="L9" s="3">
        <f t="shared" si="1"/>
        <v>0</v>
      </c>
      <c r="M9" s="3">
        <f t="shared" si="1"/>
        <v>0</v>
      </c>
      <c r="N9" s="5"/>
      <c r="O9" s="3">
        <f t="shared" si="7"/>
        <v>0</v>
      </c>
      <c r="P9" s="3">
        <f t="shared" si="8"/>
        <v>0</v>
      </c>
      <c r="Q9" s="5"/>
      <c r="R9" s="3">
        <f t="shared" ref="R9:S11" si="16">C9+F9+I9+L9+O9</f>
        <v>44</v>
      </c>
      <c r="S9" s="3">
        <f>D9+G9+J9+M9+P9</f>
        <v>29</v>
      </c>
      <c r="T9" s="5">
        <f>S9/R9</f>
        <v>0.65909090909090906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7.5" customHeight="1" thickBot="1" x14ac:dyDescent="0.4">
      <c r="A10" s="58"/>
      <c r="B10" s="4" t="s">
        <v>16</v>
      </c>
      <c r="C10" s="3">
        <f t="shared" si="13"/>
        <v>333</v>
      </c>
      <c r="D10" s="3">
        <f t="shared" si="13"/>
        <v>274</v>
      </c>
      <c r="E10" s="5">
        <f>D10/C10</f>
        <v>0.82282282282282282</v>
      </c>
      <c r="F10" s="3">
        <f t="shared" si="14"/>
        <v>232</v>
      </c>
      <c r="G10" s="3">
        <f t="shared" si="14"/>
        <v>150</v>
      </c>
      <c r="H10" s="5">
        <f>G10/F10</f>
        <v>0.64655172413793105</v>
      </c>
      <c r="I10" s="3">
        <f t="shared" si="15"/>
        <v>74</v>
      </c>
      <c r="J10" s="3">
        <f t="shared" si="15"/>
        <v>74</v>
      </c>
      <c r="K10" s="5">
        <f>J10/I10</f>
        <v>1</v>
      </c>
      <c r="L10" s="3">
        <f t="shared" si="1"/>
        <v>34</v>
      </c>
      <c r="M10" s="3">
        <f t="shared" si="1"/>
        <v>32</v>
      </c>
      <c r="N10" s="5">
        <f>M10/L10</f>
        <v>0.94117647058823528</v>
      </c>
      <c r="O10" s="3">
        <f t="shared" ref="O10:P11" si="17">I134</f>
        <v>48</v>
      </c>
      <c r="P10" s="3">
        <f t="shared" si="17"/>
        <v>48</v>
      </c>
      <c r="Q10" s="5">
        <f>P10/O10</f>
        <v>1</v>
      </c>
      <c r="R10" s="3">
        <f t="shared" si="16"/>
        <v>721</v>
      </c>
      <c r="S10" s="3">
        <f t="shared" si="16"/>
        <v>578</v>
      </c>
      <c r="T10" s="5">
        <f>S10/R10</f>
        <v>0.80166435506241329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4.25" customHeight="1" thickBot="1" x14ac:dyDescent="0.4">
      <c r="A11" s="58"/>
      <c r="B11" s="6" t="s">
        <v>17</v>
      </c>
      <c r="C11" s="3">
        <f t="shared" si="13"/>
        <v>333</v>
      </c>
      <c r="D11" s="3">
        <f t="shared" si="13"/>
        <v>274</v>
      </c>
      <c r="E11" s="5">
        <f>D11/C11</f>
        <v>0.82282282282282282</v>
      </c>
      <c r="F11" s="3">
        <f t="shared" si="14"/>
        <v>230</v>
      </c>
      <c r="G11" s="3">
        <f t="shared" si="14"/>
        <v>148</v>
      </c>
      <c r="H11" s="5">
        <f>G11/F11</f>
        <v>0.64347826086956517</v>
      </c>
      <c r="I11" s="3">
        <f t="shared" si="15"/>
        <v>74</v>
      </c>
      <c r="J11" s="3">
        <f t="shared" si="15"/>
        <v>74</v>
      </c>
      <c r="K11" s="5">
        <f>J11/I11</f>
        <v>1</v>
      </c>
      <c r="L11" s="3">
        <f t="shared" si="1"/>
        <v>34</v>
      </c>
      <c r="M11" s="3">
        <f t="shared" si="1"/>
        <v>32</v>
      </c>
      <c r="N11" s="5">
        <f>M11/L11</f>
        <v>0.94117647058823528</v>
      </c>
      <c r="O11" s="3">
        <f t="shared" si="17"/>
        <v>48</v>
      </c>
      <c r="P11" s="3">
        <f t="shared" si="17"/>
        <v>48</v>
      </c>
      <c r="Q11" s="5">
        <f>P11/O11</f>
        <v>1</v>
      </c>
      <c r="R11" s="3">
        <f t="shared" si="16"/>
        <v>719</v>
      </c>
      <c r="S11" s="3">
        <f t="shared" si="16"/>
        <v>576</v>
      </c>
      <c r="T11" s="5">
        <f>S11/R11</f>
        <v>0.80111265646731566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4.25" customHeight="1" thickBot="1" x14ac:dyDescent="0.4">
      <c r="A12" s="58"/>
      <c r="B12" s="6" t="s">
        <v>18</v>
      </c>
      <c r="C12" s="3">
        <f t="shared" ref="C12:C16" si="18">R55</f>
        <v>0</v>
      </c>
      <c r="D12" s="3">
        <f t="shared" ref="D12:D16" si="19">S55</f>
        <v>0</v>
      </c>
      <c r="E12" s="5"/>
      <c r="F12" s="3">
        <f t="shared" ref="F12:F16" si="20">X75</f>
        <v>0</v>
      </c>
      <c r="G12" s="3">
        <f t="shared" ref="G12:G16" si="21">Y75</f>
        <v>0</v>
      </c>
      <c r="H12" s="5"/>
      <c r="I12" s="3">
        <f t="shared" ref="I12:J12" si="22">I95</f>
        <v>0</v>
      </c>
      <c r="J12" s="3">
        <f t="shared" si="22"/>
        <v>0</v>
      </c>
      <c r="K12" s="5"/>
      <c r="L12" s="3">
        <f t="shared" ref="L12:L16" si="23">I115</f>
        <v>0</v>
      </c>
      <c r="M12" s="3">
        <f t="shared" ref="M12:M16" si="24">J115</f>
        <v>0</v>
      </c>
      <c r="N12" s="5"/>
      <c r="O12" s="3">
        <f t="shared" ref="O12:O16" si="25">I136</f>
        <v>0</v>
      </c>
      <c r="P12" s="3">
        <f t="shared" ref="P12:P16" si="26">J136</f>
        <v>0</v>
      </c>
      <c r="Q12" s="5"/>
      <c r="R12" s="3">
        <f t="shared" ref="R12:R16" si="27">C12+F12+I12+L12+O12</f>
        <v>0</v>
      </c>
      <c r="S12" s="3">
        <f t="shared" ref="S12:S16" si="28">D12+G12+J12+M12+P12</f>
        <v>0</v>
      </c>
      <c r="T12" s="5" t="e">
        <f>S12/R12</f>
        <v>#DIV/0!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4.25" customHeight="1" thickBot="1" x14ac:dyDescent="0.4">
      <c r="A13" s="58"/>
      <c r="B13" s="6" t="s">
        <v>19</v>
      </c>
      <c r="C13" s="3">
        <f t="shared" si="18"/>
        <v>0</v>
      </c>
      <c r="D13" s="3">
        <f t="shared" si="19"/>
        <v>0</v>
      </c>
      <c r="E13" s="5"/>
      <c r="F13" s="3">
        <f t="shared" si="20"/>
        <v>0</v>
      </c>
      <c r="G13" s="3">
        <f t="shared" si="21"/>
        <v>0</v>
      </c>
      <c r="H13" s="5"/>
      <c r="I13" s="3">
        <f t="shared" ref="I13:J13" si="29">I96</f>
        <v>0</v>
      </c>
      <c r="J13" s="3">
        <f t="shared" si="29"/>
        <v>0</v>
      </c>
      <c r="K13" s="5"/>
      <c r="L13" s="3">
        <f t="shared" si="23"/>
        <v>0</v>
      </c>
      <c r="M13" s="3">
        <f t="shared" si="24"/>
        <v>0</v>
      </c>
      <c r="N13" s="5"/>
      <c r="O13" s="3">
        <f t="shared" si="25"/>
        <v>0</v>
      </c>
      <c r="P13" s="3">
        <f t="shared" si="26"/>
        <v>0</v>
      </c>
      <c r="Q13" s="5"/>
      <c r="R13" s="3">
        <f t="shared" si="27"/>
        <v>0</v>
      </c>
      <c r="S13" s="3">
        <f t="shared" si="28"/>
        <v>0</v>
      </c>
      <c r="T13" s="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4.25" customHeight="1" thickBot="1" x14ac:dyDescent="0.4">
      <c r="A14" s="58"/>
      <c r="B14" s="6" t="s">
        <v>20</v>
      </c>
      <c r="C14" s="3">
        <f t="shared" si="18"/>
        <v>0</v>
      </c>
      <c r="D14" s="3">
        <f t="shared" si="19"/>
        <v>0</v>
      </c>
      <c r="E14" s="5"/>
      <c r="F14" s="3">
        <f t="shared" si="20"/>
        <v>0</v>
      </c>
      <c r="G14" s="3">
        <f t="shared" si="21"/>
        <v>0</v>
      </c>
      <c r="H14" s="5"/>
      <c r="I14" s="3">
        <f t="shared" ref="I14:J14" si="30">I97</f>
        <v>0</v>
      </c>
      <c r="J14" s="3">
        <f t="shared" si="30"/>
        <v>0</v>
      </c>
      <c r="K14" s="5"/>
      <c r="L14" s="3">
        <f t="shared" si="23"/>
        <v>0</v>
      </c>
      <c r="M14" s="3">
        <f t="shared" si="24"/>
        <v>0</v>
      </c>
      <c r="N14" s="5" t="e">
        <f t="shared" ref="N14" si="31">M14/L14</f>
        <v>#DIV/0!</v>
      </c>
      <c r="O14" s="3">
        <f t="shared" si="25"/>
        <v>0</v>
      </c>
      <c r="P14" s="3">
        <f t="shared" si="26"/>
        <v>0</v>
      </c>
      <c r="Q14" s="5"/>
      <c r="R14" s="3">
        <f t="shared" si="27"/>
        <v>0</v>
      </c>
      <c r="S14" s="3">
        <f t="shared" si="28"/>
        <v>0</v>
      </c>
      <c r="T14" s="5" t="e">
        <f t="shared" ref="T14:T15" si="32">S14/R14</f>
        <v>#DIV/0!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8.5" customHeight="1" thickBot="1" x14ac:dyDescent="0.4">
      <c r="A15" s="58"/>
      <c r="B15" s="6" t="s">
        <v>21</v>
      </c>
      <c r="C15" s="3">
        <f t="shared" si="18"/>
        <v>0</v>
      </c>
      <c r="D15" s="3">
        <f t="shared" si="19"/>
        <v>0</v>
      </c>
      <c r="E15" s="5" t="e">
        <f t="shared" ref="E15" si="33">D15/C15</f>
        <v>#DIV/0!</v>
      </c>
      <c r="F15" s="3">
        <f t="shared" si="20"/>
        <v>0</v>
      </c>
      <c r="G15" s="3">
        <f t="shared" si="21"/>
        <v>0</v>
      </c>
      <c r="H15" s="5"/>
      <c r="I15" s="3">
        <f t="shared" ref="I15:J15" si="34">I98</f>
        <v>0</v>
      </c>
      <c r="J15" s="3">
        <f t="shared" si="34"/>
        <v>0</v>
      </c>
      <c r="K15" s="5"/>
      <c r="L15" s="3">
        <f t="shared" si="23"/>
        <v>0</v>
      </c>
      <c r="M15" s="3">
        <f t="shared" si="24"/>
        <v>0</v>
      </c>
      <c r="N15" s="5"/>
      <c r="O15" s="3">
        <f t="shared" si="25"/>
        <v>0</v>
      </c>
      <c r="P15" s="3">
        <f t="shared" si="26"/>
        <v>0</v>
      </c>
      <c r="Q15" s="5"/>
      <c r="R15" s="3">
        <f t="shared" si="27"/>
        <v>0</v>
      </c>
      <c r="S15" s="3">
        <f t="shared" si="28"/>
        <v>0</v>
      </c>
      <c r="T15" s="5" t="e">
        <f t="shared" si="32"/>
        <v>#DIV/0!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8" customHeight="1" thickBot="1" x14ac:dyDescent="0.4">
      <c r="A16" s="58"/>
      <c r="B16" s="4" t="s">
        <v>22</v>
      </c>
      <c r="C16" s="3">
        <f t="shared" si="18"/>
        <v>0</v>
      </c>
      <c r="D16" s="3">
        <f t="shared" si="19"/>
        <v>0</v>
      </c>
      <c r="E16" s="5"/>
      <c r="F16" s="3">
        <f t="shared" si="20"/>
        <v>0</v>
      </c>
      <c r="G16" s="3">
        <f t="shared" si="21"/>
        <v>0</v>
      </c>
      <c r="H16" s="5"/>
      <c r="I16" s="3">
        <f t="shared" ref="I16:J16" si="35">I99</f>
        <v>0</v>
      </c>
      <c r="J16" s="3">
        <f t="shared" si="35"/>
        <v>0</v>
      </c>
      <c r="K16" s="5"/>
      <c r="L16" s="3">
        <f t="shared" si="23"/>
        <v>0</v>
      </c>
      <c r="M16" s="3">
        <f t="shared" si="24"/>
        <v>0</v>
      </c>
      <c r="N16" s="5"/>
      <c r="O16" s="3">
        <f t="shared" si="25"/>
        <v>0</v>
      </c>
      <c r="P16" s="3">
        <f t="shared" si="26"/>
        <v>0</v>
      </c>
      <c r="Q16" s="5"/>
      <c r="R16" s="3">
        <f t="shared" si="27"/>
        <v>0</v>
      </c>
      <c r="S16" s="3">
        <f t="shared" si="28"/>
        <v>0</v>
      </c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9.5" customHeight="1" thickBot="1" x14ac:dyDescent="0.4">
      <c r="A17" s="58"/>
      <c r="B17" s="4" t="s">
        <v>23</v>
      </c>
      <c r="C17" s="3">
        <f>R60</f>
        <v>0</v>
      </c>
      <c r="D17" s="3">
        <f>S60</f>
        <v>0</v>
      </c>
      <c r="E17" s="5" t="e">
        <f>D17/C17</f>
        <v>#DIV/0!</v>
      </c>
      <c r="F17" s="3">
        <f t="shared" ref="F17:H19" si="36">X80</f>
        <v>17</v>
      </c>
      <c r="G17" s="3">
        <f t="shared" si="36"/>
        <v>17</v>
      </c>
      <c r="H17" s="5"/>
      <c r="I17" s="3">
        <f>I100</f>
        <v>3</v>
      </c>
      <c r="J17" s="3">
        <f>J100</f>
        <v>3</v>
      </c>
      <c r="K17" s="5"/>
      <c r="L17" s="3">
        <f>I120</f>
        <v>10</v>
      </c>
      <c r="M17" s="3">
        <f>J120</f>
        <v>10</v>
      </c>
      <c r="N17" s="5">
        <f>M17/L17</f>
        <v>1</v>
      </c>
      <c r="O17" s="3">
        <f>I141</f>
        <v>14</v>
      </c>
      <c r="P17" s="3">
        <f>G141</f>
        <v>14</v>
      </c>
      <c r="Q17" s="5">
        <f>P17/O17</f>
        <v>1</v>
      </c>
      <c r="R17" s="3">
        <f>C17+F17+I17+L17+O17</f>
        <v>44</v>
      </c>
      <c r="S17" s="3">
        <f>D17+G17+J17+M17+P17</f>
        <v>44</v>
      </c>
      <c r="T17" s="5">
        <f>S17/R17</f>
        <v>1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0.25" customHeight="1" thickBot="1" x14ac:dyDescent="0.4">
      <c r="A18" s="58"/>
      <c r="B18" s="4" t="s">
        <v>24</v>
      </c>
      <c r="C18" s="3"/>
      <c r="D18" s="3"/>
      <c r="E18" s="5"/>
      <c r="F18" s="3">
        <f t="shared" si="36"/>
        <v>0</v>
      </c>
      <c r="G18" s="3">
        <f t="shared" si="36"/>
        <v>0</v>
      </c>
      <c r="H18" s="5" t="e">
        <f t="shared" si="36"/>
        <v>#DIV/0!</v>
      </c>
      <c r="I18" s="3"/>
      <c r="J18" s="3"/>
      <c r="K18" s="5"/>
      <c r="L18" s="3"/>
      <c r="M18" s="3"/>
      <c r="N18" s="5"/>
      <c r="O18" s="3"/>
      <c r="P18" s="3"/>
      <c r="Q18" s="5"/>
      <c r="R18" s="3">
        <f>C18+F18+I18+L18+O18</f>
        <v>0</v>
      </c>
      <c r="S18" s="3">
        <f>D18+G18+J18+M18+P18</f>
        <v>0</v>
      </c>
      <c r="T18" s="5" t="e">
        <f>S18/R18</f>
        <v>#DIV/0!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6" thickBot="1" x14ac:dyDescent="0.4">
      <c r="A19" s="58"/>
      <c r="B19" s="4" t="s">
        <v>25</v>
      </c>
      <c r="C19" s="3">
        <f>R62</f>
        <v>0</v>
      </c>
      <c r="D19" s="3">
        <f>S62</f>
        <v>0</v>
      </c>
      <c r="E19" s="5">
        <f>T62</f>
        <v>0</v>
      </c>
      <c r="F19" s="3">
        <f t="shared" si="36"/>
        <v>0</v>
      </c>
      <c r="G19" s="3">
        <f t="shared" si="36"/>
        <v>0</v>
      </c>
      <c r="H19" s="5">
        <f t="shared" si="36"/>
        <v>0</v>
      </c>
      <c r="I19" s="3">
        <f>I102</f>
        <v>40</v>
      </c>
      <c r="J19" s="3">
        <f>J102</f>
        <v>40</v>
      </c>
      <c r="K19" s="5">
        <f>K102</f>
        <v>1</v>
      </c>
      <c r="L19" s="3">
        <f>I122</f>
        <v>0</v>
      </c>
      <c r="M19" s="3">
        <f>J122</f>
        <v>0</v>
      </c>
      <c r="N19" s="5">
        <f>K122</f>
        <v>0</v>
      </c>
      <c r="O19" s="3">
        <f>C143</f>
        <v>0</v>
      </c>
      <c r="P19" s="3">
        <f>D143</f>
        <v>0</v>
      </c>
      <c r="Q19" s="5">
        <f>E143</f>
        <v>0</v>
      </c>
      <c r="R19" s="3"/>
      <c r="S19" s="3"/>
      <c r="T19" s="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6" thickBot="1" x14ac:dyDescent="0.4">
      <c r="A20" s="58"/>
      <c r="B20" s="4" t="s">
        <v>26</v>
      </c>
      <c r="C20" s="3"/>
      <c r="D20" s="3"/>
      <c r="E20" s="5"/>
      <c r="F20" s="3"/>
      <c r="G20" s="3"/>
      <c r="H20" s="5"/>
      <c r="I20" s="3"/>
      <c r="J20" s="3"/>
      <c r="K20" s="5"/>
      <c r="L20" s="3"/>
      <c r="M20" s="3"/>
      <c r="N20" s="5"/>
      <c r="O20" s="3">
        <f>I144</f>
        <v>0</v>
      </c>
      <c r="P20" s="3">
        <f>J144</f>
        <v>0</v>
      </c>
      <c r="Q20" s="5"/>
      <c r="R20" s="3">
        <f>C20+F20+I20+L20+O20</f>
        <v>0</v>
      </c>
      <c r="S20" s="3">
        <f>D20+G20+J20+M20+P20</f>
        <v>0</v>
      </c>
      <c r="T20" s="5" t="e">
        <f>S20/R20</f>
        <v>#DIV/0!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 thickBot="1" x14ac:dyDescent="0.4">
      <c r="A21" s="58"/>
      <c r="B21" s="4" t="s">
        <v>27</v>
      </c>
      <c r="C21" s="3"/>
      <c r="D21" s="3"/>
      <c r="E21" s="5"/>
      <c r="F21" s="3"/>
      <c r="G21" s="3"/>
      <c r="H21" s="5"/>
      <c r="I21" s="3"/>
      <c r="J21" s="3"/>
      <c r="K21" s="5"/>
      <c r="L21" s="3"/>
      <c r="M21" s="3"/>
      <c r="N21" s="5"/>
      <c r="O21" s="3"/>
      <c r="P21" s="3"/>
      <c r="Q21" s="5"/>
      <c r="R21" s="3"/>
      <c r="S21" s="3"/>
      <c r="T21" s="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 thickBot="1" x14ac:dyDescent="0.4">
      <c r="A22" s="58"/>
      <c r="B22" s="4" t="s">
        <v>64</v>
      </c>
      <c r="C22" s="3"/>
      <c r="D22" s="3"/>
      <c r="E22" s="5"/>
      <c r="F22" s="3"/>
      <c r="G22" s="3"/>
      <c r="H22" s="5"/>
      <c r="I22" s="3"/>
      <c r="J22" s="3"/>
      <c r="K22" s="5"/>
      <c r="L22" s="3"/>
      <c r="M22" s="3"/>
      <c r="N22" s="5"/>
      <c r="O22" s="3"/>
      <c r="P22" s="3"/>
      <c r="Q22" s="5"/>
      <c r="R22" s="3"/>
      <c r="S22" s="3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4.25" customHeight="1" thickBot="1" x14ac:dyDescent="0.4">
      <c r="A23" s="58"/>
      <c r="B23" s="4" t="s">
        <v>28</v>
      </c>
      <c r="C23" s="7">
        <f>C5+C9+C10+C16+C17+C18+C19</f>
        <v>348</v>
      </c>
      <c r="D23" s="7">
        <f>D5+D9+D10+D16+D17+D18+D19</f>
        <v>286</v>
      </c>
      <c r="E23" s="8">
        <f>D23/C23</f>
        <v>0.82183908045977017</v>
      </c>
      <c r="F23" s="7">
        <f>F5+F9+F10+F16+F17+F18+F19+F20</f>
        <v>368</v>
      </c>
      <c r="G23" s="7">
        <f>G5+G9+G10+G16+G17+G18+G19+G20</f>
        <v>232</v>
      </c>
      <c r="H23" s="8">
        <f>G23/F23</f>
        <v>0.63043478260869568</v>
      </c>
      <c r="I23" s="7">
        <f>I5+I9+I10+I16+I17+I18+I19</f>
        <v>146</v>
      </c>
      <c r="J23" s="7">
        <f>J5+J9+J10+J16+J17+J18+J19</f>
        <v>146</v>
      </c>
      <c r="K23" s="8">
        <f>J23/I23</f>
        <v>1</v>
      </c>
      <c r="L23" s="7">
        <f>L5+L9+L10+L16+L17+L18+L19+L22</f>
        <v>54</v>
      </c>
      <c r="M23" s="7">
        <f>M5+M9+M10+M16+M17+M18+M19+M22</f>
        <v>52</v>
      </c>
      <c r="N23" s="8">
        <f>M23/L23</f>
        <v>0.96296296296296291</v>
      </c>
      <c r="O23" s="7">
        <f>O5+O9+O10+O16+O17+O18+O19+O20</f>
        <v>84</v>
      </c>
      <c r="P23" s="7">
        <f>P5+P9+P10+P16+P17+P18+P19+P20</f>
        <v>81</v>
      </c>
      <c r="Q23" s="5">
        <f>P23/O23</f>
        <v>0.9642857142857143</v>
      </c>
      <c r="R23" s="7">
        <f>R5+R9+R10+R16+R17+R18+R19+R20+R21+R22</f>
        <v>960</v>
      </c>
      <c r="S23" s="7">
        <f>S5+S9+S10+S16+S17+S18+S19+S20+S21+S22</f>
        <v>757</v>
      </c>
      <c r="T23" s="9">
        <f>S23/R23</f>
        <v>0.7885416666666667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4.25" customHeight="1" x14ac:dyDescent="0.3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4.25" customHeight="1" x14ac:dyDescent="0.35">
      <c r="A25" s="10"/>
      <c r="B25" s="11" t="s">
        <v>1</v>
      </c>
      <c r="C25" s="12" t="s">
        <v>29</v>
      </c>
      <c r="D25" s="12" t="s">
        <v>30</v>
      </c>
      <c r="E25" s="12" t="s">
        <v>30</v>
      </c>
      <c r="F25" s="1"/>
      <c r="G25" s="52" t="s">
        <v>31</v>
      </c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8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4.25" customHeight="1" x14ac:dyDescent="0.35">
      <c r="A26" s="10"/>
      <c r="B26" s="12" t="s">
        <v>11</v>
      </c>
      <c r="C26" s="13">
        <f t="shared" ref="C26:D32" si="37">R5</f>
        <v>151</v>
      </c>
      <c r="D26" s="13">
        <f t="shared" si="37"/>
        <v>106</v>
      </c>
      <c r="E26" s="14">
        <f>D26/C26</f>
        <v>0.70198675496688745</v>
      </c>
      <c r="F26" s="1"/>
      <c r="G26" s="52" t="s">
        <v>32</v>
      </c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8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4.25" customHeight="1" x14ac:dyDescent="0.35">
      <c r="A27" s="10"/>
      <c r="B27" s="15" t="s">
        <v>12</v>
      </c>
      <c r="C27" s="13">
        <f t="shared" si="37"/>
        <v>146</v>
      </c>
      <c r="D27" s="13">
        <f t="shared" si="37"/>
        <v>101</v>
      </c>
      <c r="E27" s="14">
        <f>D27/C27</f>
        <v>0.69178082191780821</v>
      </c>
      <c r="F27" s="1"/>
      <c r="G27" s="52" t="s">
        <v>33</v>
      </c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8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4.25" customHeight="1" x14ac:dyDescent="0.35">
      <c r="A28" s="10"/>
      <c r="B28" s="15" t="s">
        <v>13</v>
      </c>
      <c r="C28" s="13">
        <f t="shared" si="37"/>
        <v>5</v>
      </c>
      <c r="D28" s="13">
        <f t="shared" si="37"/>
        <v>5</v>
      </c>
      <c r="E28" s="14"/>
      <c r="F28" s="1"/>
      <c r="G28" s="52" t="s">
        <v>34</v>
      </c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8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4.25" customHeight="1" x14ac:dyDescent="0.35">
      <c r="A29" s="10"/>
      <c r="B29" s="15" t="s">
        <v>14</v>
      </c>
      <c r="C29" s="13">
        <f t="shared" si="37"/>
        <v>0</v>
      </c>
      <c r="D29" s="13">
        <f t="shared" si="37"/>
        <v>0</v>
      </c>
      <c r="E29" s="14" t="e">
        <f>D29/C29</f>
        <v>#DIV/0!</v>
      </c>
      <c r="F29" s="1"/>
      <c r="G29" s="52" t="s">
        <v>35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8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4.25" customHeight="1" x14ac:dyDescent="0.35">
      <c r="A30" s="10"/>
      <c r="B30" s="12" t="s">
        <v>15</v>
      </c>
      <c r="C30" s="13">
        <f t="shared" si="37"/>
        <v>44</v>
      </c>
      <c r="D30" s="13">
        <f t="shared" si="37"/>
        <v>29</v>
      </c>
      <c r="E30" s="14">
        <f>D30/C30</f>
        <v>0.65909090909090906</v>
      </c>
      <c r="F30" s="1"/>
      <c r="G30" s="52" t="s">
        <v>36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4.25" customHeight="1" x14ac:dyDescent="0.35">
      <c r="A31" s="10"/>
      <c r="B31" s="12" t="s">
        <v>16</v>
      </c>
      <c r="C31" s="13">
        <f t="shared" si="37"/>
        <v>721</v>
      </c>
      <c r="D31" s="13">
        <f t="shared" si="37"/>
        <v>578</v>
      </c>
      <c r="E31" s="14">
        <f>D31/C31</f>
        <v>0.80166435506241329</v>
      </c>
      <c r="F31" s="1"/>
      <c r="G31" s="52" t="s">
        <v>37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8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4.25" customHeight="1" x14ac:dyDescent="0.35">
      <c r="A32" s="10"/>
      <c r="B32" s="15" t="s">
        <v>17</v>
      </c>
      <c r="C32" s="13">
        <f t="shared" si="37"/>
        <v>719</v>
      </c>
      <c r="D32" s="13">
        <f t="shared" si="37"/>
        <v>576</v>
      </c>
      <c r="E32" s="14">
        <f>D32/C32</f>
        <v>0.80111265646731566</v>
      </c>
      <c r="F32" s="1"/>
      <c r="G32" s="52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4.25" customHeight="1" x14ac:dyDescent="0.35">
      <c r="A33" s="10"/>
      <c r="B33" s="15" t="s">
        <v>18</v>
      </c>
      <c r="C33" s="13"/>
      <c r="D33" s="13"/>
      <c r="E33" s="14"/>
      <c r="F33" s="1"/>
      <c r="G33" s="52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4.25" customHeight="1" x14ac:dyDescent="0.35">
      <c r="A34" s="10"/>
      <c r="B34" s="15" t="s">
        <v>19</v>
      </c>
      <c r="C34" s="13"/>
      <c r="D34" s="13"/>
      <c r="E34" s="14"/>
      <c r="F34" s="1"/>
      <c r="G34" s="46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8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4.25" customHeight="1" x14ac:dyDescent="0.35">
      <c r="A35" s="10"/>
      <c r="B35" s="15" t="s">
        <v>20</v>
      </c>
      <c r="C35" s="13"/>
      <c r="D35" s="13"/>
      <c r="E35" s="14"/>
      <c r="F35" s="1"/>
      <c r="G35" s="46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4.25" customHeight="1" x14ac:dyDescent="0.35">
      <c r="A36" s="10"/>
      <c r="B36" s="15" t="s">
        <v>21</v>
      </c>
      <c r="C36" s="13"/>
      <c r="D36" s="13"/>
      <c r="E36" s="14"/>
      <c r="F36" s="1"/>
      <c r="G36" s="46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8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4.25" customHeight="1" x14ac:dyDescent="0.35">
      <c r="A37" s="10"/>
      <c r="B37" s="12" t="s">
        <v>22</v>
      </c>
      <c r="C37" s="13"/>
      <c r="D37" s="13"/>
      <c r="E37" s="14"/>
      <c r="F37" s="1"/>
      <c r="G37" s="46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8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4.25" customHeight="1" x14ac:dyDescent="0.35">
      <c r="A38" s="10"/>
      <c r="B38" s="12" t="s">
        <v>23</v>
      </c>
      <c r="C38" s="13">
        <f t="shared" ref="C38:D40" si="38">R17</f>
        <v>44</v>
      </c>
      <c r="D38" s="13">
        <f t="shared" si="38"/>
        <v>44</v>
      </c>
      <c r="E38" s="14">
        <f>D38/C38</f>
        <v>1</v>
      </c>
      <c r="F38" s="1"/>
      <c r="G38" s="46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8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25" customHeight="1" x14ac:dyDescent="0.35">
      <c r="A39" s="10"/>
      <c r="B39" s="12" t="s">
        <v>24</v>
      </c>
      <c r="C39" s="13">
        <f t="shared" si="38"/>
        <v>0</v>
      </c>
      <c r="D39" s="13">
        <f t="shared" si="38"/>
        <v>0</v>
      </c>
      <c r="E39" s="14" t="e">
        <f>D39/C39</f>
        <v>#DIV/0!</v>
      </c>
      <c r="F39" s="1"/>
      <c r="G39" s="46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8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25" customHeight="1" x14ac:dyDescent="0.35">
      <c r="A40" s="10"/>
      <c r="B40" s="12" t="s">
        <v>25</v>
      </c>
      <c r="C40" s="13">
        <f t="shared" si="38"/>
        <v>0</v>
      </c>
      <c r="D40" s="13">
        <f t="shared" si="38"/>
        <v>0</v>
      </c>
      <c r="E40" s="14"/>
      <c r="F40" s="1"/>
      <c r="G40" s="46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8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25" customHeight="1" thickBot="1" x14ac:dyDescent="0.4">
      <c r="A41" s="10"/>
      <c r="B41" s="4" t="s">
        <v>26</v>
      </c>
      <c r="C41" s="13">
        <f>I144</f>
        <v>0</v>
      </c>
      <c r="D41" s="13">
        <f>J144</f>
        <v>0</v>
      </c>
      <c r="E41" s="14"/>
      <c r="F41" s="1"/>
      <c r="G41" s="49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8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25" customHeight="1" thickBot="1" x14ac:dyDescent="0.4">
      <c r="A42" s="10"/>
      <c r="B42" s="4" t="s">
        <v>38</v>
      </c>
      <c r="C42" s="13">
        <f>R22</f>
        <v>0</v>
      </c>
      <c r="D42" s="13">
        <f>S22</f>
        <v>0</v>
      </c>
      <c r="E42" s="14"/>
      <c r="F42" s="1"/>
      <c r="G42" s="49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25" customHeight="1" x14ac:dyDescent="0.35">
      <c r="A43" s="10"/>
      <c r="B43" s="12" t="s">
        <v>28</v>
      </c>
      <c r="C43" s="12">
        <f>C26+C30+C31+C37+C38+C39+C40+C41+C42</f>
        <v>960</v>
      </c>
      <c r="D43" s="12">
        <f>D26+D30+D31+D37+D38+D39+D40+D41+D42</f>
        <v>757</v>
      </c>
      <c r="E43" s="16">
        <f>D43/C43</f>
        <v>0.7885416666666667</v>
      </c>
      <c r="F43" s="1"/>
      <c r="G43" s="46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8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25" customHeight="1" thickBot="1" x14ac:dyDescent="0.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" customHeight="1" thickBot="1" x14ac:dyDescent="0.4">
      <c r="A45" s="1"/>
      <c r="B45" s="32" t="s">
        <v>1</v>
      </c>
      <c r="C45" s="35" t="s">
        <v>39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7"/>
      <c r="R45" s="35" t="s">
        <v>7</v>
      </c>
      <c r="S45" s="36"/>
      <c r="T45" s="37"/>
      <c r="U45" s="40" t="s">
        <v>40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" customHeight="1" thickBot="1" x14ac:dyDescent="0.4">
      <c r="A46" s="1"/>
      <c r="B46" s="33"/>
      <c r="C46" s="35" t="s">
        <v>41</v>
      </c>
      <c r="D46" s="36"/>
      <c r="E46" s="37"/>
      <c r="F46" s="35" t="s">
        <v>42</v>
      </c>
      <c r="G46" s="36"/>
      <c r="H46" s="37"/>
      <c r="I46" s="35" t="s">
        <v>43</v>
      </c>
      <c r="J46" s="36"/>
      <c r="K46" s="37"/>
      <c r="L46" s="35" t="s">
        <v>44</v>
      </c>
      <c r="M46" s="36"/>
      <c r="N46" s="37"/>
      <c r="O46" s="35" t="s">
        <v>45</v>
      </c>
      <c r="P46" s="36"/>
      <c r="Q46" s="37"/>
      <c r="R46" s="17"/>
      <c r="S46" s="17"/>
      <c r="T46" s="18"/>
      <c r="U46" s="33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25" customHeight="1" thickBot="1" x14ac:dyDescent="0.4">
      <c r="A47" s="1"/>
      <c r="B47" s="34"/>
      <c r="C47" s="19" t="s">
        <v>8</v>
      </c>
      <c r="D47" s="19" t="s">
        <v>9</v>
      </c>
      <c r="E47" s="19" t="s">
        <v>10</v>
      </c>
      <c r="F47" s="19" t="s">
        <v>8</v>
      </c>
      <c r="G47" s="19" t="s">
        <v>9</v>
      </c>
      <c r="H47" s="19" t="s">
        <v>10</v>
      </c>
      <c r="I47" s="19" t="s">
        <v>8</v>
      </c>
      <c r="J47" s="19" t="s">
        <v>9</v>
      </c>
      <c r="K47" s="19" t="s">
        <v>10</v>
      </c>
      <c r="L47" s="19" t="s">
        <v>8</v>
      </c>
      <c r="M47" s="19" t="s">
        <v>9</v>
      </c>
      <c r="N47" s="19" t="s">
        <v>10</v>
      </c>
      <c r="O47" s="19" t="s">
        <v>8</v>
      </c>
      <c r="P47" s="19" t="s">
        <v>9</v>
      </c>
      <c r="Q47" s="19" t="s">
        <v>10</v>
      </c>
      <c r="R47" s="19" t="s">
        <v>8</v>
      </c>
      <c r="S47" s="19" t="s">
        <v>9</v>
      </c>
      <c r="T47" s="19" t="s">
        <v>10</v>
      </c>
      <c r="U47" s="33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25" customHeight="1" thickBot="1" x14ac:dyDescent="0.4">
      <c r="A48" s="20"/>
      <c r="B48" s="4" t="s">
        <v>46</v>
      </c>
      <c r="C48" s="21">
        <f>C49+C50+C51</f>
        <v>3</v>
      </c>
      <c r="D48" s="21">
        <f>D49+D50+D51</f>
        <v>3</v>
      </c>
      <c r="E48" s="22"/>
      <c r="F48" s="21">
        <f>F49+F50+F51</f>
        <v>1</v>
      </c>
      <c r="G48" s="21">
        <f>G49+G50+G51</f>
        <v>0</v>
      </c>
      <c r="H48" s="22"/>
      <c r="I48" s="21">
        <f>I49+I50+I51</f>
        <v>7</v>
      </c>
      <c r="J48" s="21">
        <f>J49+J50+J51</f>
        <v>7</v>
      </c>
      <c r="K48" s="22"/>
      <c r="L48" s="21">
        <f>L49+L50+L51</f>
        <v>4</v>
      </c>
      <c r="M48" s="21">
        <f>M49+M50+M51</f>
        <v>2</v>
      </c>
      <c r="N48" s="22">
        <f>M48/L48</f>
        <v>0.5</v>
      </c>
      <c r="O48" s="21">
        <f>O49+O50+O51</f>
        <v>0</v>
      </c>
      <c r="P48" s="21">
        <f>P49+P50+P51</f>
        <v>0</v>
      </c>
      <c r="Q48" s="22"/>
      <c r="R48" s="21">
        <f>C48+F48+I48+L48+O48</f>
        <v>15</v>
      </c>
      <c r="S48" s="21">
        <f>D48+G48+J48+M48+P48</f>
        <v>12</v>
      </c>
      <c r="T48" s="23">
        <f>S48/R48</f>
        <v>0.8</v>
      </c>
      <c r="U48" s="33"/>
      <c r="V48" s="20"/>
      <c r="W48" s="20"/>
      <c r="X48" s="20"/>
      <c r="Y48" s="20"/>
      <c r="Z48" s="20"/>
      <c r="AA48" s="20"/>
      <c r="AB48" s="1"/>
      <c r="AC48" s="1"/>
      <c r="AD48" s="1"/>
      <c r="AE48" s="1"/>
      <c r="AF48" s="1"/>
    </row>
    <row r="49" spans="1:32" ht="14.25" customHeight="1" thickBot="1" x14ac:dyDescent="0.4">
      <c r="A49" s="1"/>
      <c r="B49" s="6" t="s">
        <v>12</v>
      </c>
      <c r="C49" s="24">
        <v>3</v>
      </c>
      <c r="D49" s="24">
        <v>3</v>
      </c>
      <c r="E49" s="5">
        <f>D49/C49</f>
        <v>1</v>
      </c>
      <c r="F49" s="24">
        <v>1</v>
      </c>
      <c r="G49" s="24">
        <v>0</v>
      </c>
      <c r="H49" s="5">
        <f>G49/F49</f>
        <v>0</v>
      </c>
      <c r="I49" s="24">
        <v>7</v>
      </c>
      <c r="J49" s="24">
        <v>7</v>
      </c>
      <c r="K49" s="5">
        <f>J49/I49</f>
        <v>1</v>
      </c>
      <c r="L49" s="24">
        <v>4</v>
      </c>
      <c r="M49" s="24">
        <v>2</v>
      </c>
      <c r="N49" s="5">
        <f>M49/L49</f>
        <v>0.5</v>
      </c>
      <c r="O49" s="24">
        <v>0</v>
      </c>
      <c r="P49" s="24"/>
      <c r="Q49" s="5"/>
      <c r="R49" s="24">
        <f>C49+F49+I49+L49+O49</f>
        <v>15</v>
      </c>
      <c r="S49" s="24">
        <f>D49+G49+J49+M49+P49</f>
        <v>12</v>
      </c>
      <c r="T49" s="23">
        <f>S49/R49</f>
        <v>0.8</v>
      </c>
      <c r="U49" s="33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25" customHeight="1" thickBot="1" x14ac:dyDescent="0.4">
      <c r="A50" s="1"/>
      <c r="B50" s="6" t="s">
        <v>13</v>
      </c>
      <c r="C50" s="24"/>
      <c r="D50" s="24"/>
      <c r="E50" s="5"/>
      <c r="F50" s="24"/>
      <c r="G50" s="24"/>
      <c r="H50" s="5"/>
      <c r="I50" s="24"/>
      <c r="J50" s="24"/>
      <c r="K50" s="5"/>
      <c r="L50" s="24"/>
      <c r="M50" s="24"/>
      <c r="N50" s="5"/>
      <c r="O50" s="24"/>
      <c r="P50" s="24"/>
      <c r="Q50" s="5"/>
      <c r="R50" s="24"/>
      <c r="S50" s="24"/>
      <c r="T50" s="5"/>
      <c r="U50" s="33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25" customHeight="1" thickBot="1" x14ac:dyDescent="0.4">
      <c r="A51" s="1"/>
      <c r="B51" s="6" t="s">
        <v>14</v>
      </c>
      <c r="C51" s="24"/>
      <c r="D51" s="24"/>
      <c r="E51" s="5"/>
      <c r="F51" s="24"/>
      <c r="G51" s="24"/>
      <c r="H51" s="5"/>
      <c r="I51" s="24"/>
      <c r="J51" s="24"/>
      <c r="K51" s="5"/>
      <c r="L51" s="24"/>
      <c r="M51" s="24"/>
      <c r="N51" s="5"/>
      <c r="O51" s="24"/>
      <c r="P51" s="24"/>
      <c r="Q51" s="5"/>
      <c r="R51" s="24"/>
      <c r="S51" s="24"/>
      <c r="T51" s="5"/>
      <c r="U51" s="33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25" customHeight="1" thickBot="1" x14ac:dyDescent="0.4">
      <c r="A52" s="1"/>
      <c r="B52" s="4" t="s">
        <v>15</v>
      </c>
      <c r="C52" s="24"/>
      <c r="D52" s="24"/>
      <c r="E52" s="5"/>
      <c r="F52" s="24"/>
      <c r="G52" s="24"/>
      <c r="H52" s="5"/>
      <c r="I52" s="24"/>
      <c r="J52" s="24"/>
      <c r="K52" s="5"/>
      <c r="L52" s="24"/>
      <c r="M52" s="24"/>
      <c r="N52" s="23"/>
      <c r="O52" s="24"/>
      <c r="P52" s="24"/>
      <c r="Q52" s="5"/>
      <c r="R52" s="24">
        <f t="shared" ref="R52:S54" si="39">C52+F52+I52+L52+O52</f>
        <v>0</v>
      </c>
      <c r="S52" s="24">
        <f t="shared" si="39"/>
        <v>0</v>
      </c>
      <c r="T52" s="23" t="e">
        <f>S52/R52</f>
        <v>#DIV/0!</v>
      </c>
      <c r="U52" s="33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25" customHeight="1" thickBot="1" x14ac:dyDescent="0.4">
      <c r="A53" s="20"/>
      <c r="B53" s="4" t="s">
        <v>16</v>
      </c>
      <c r="C53" s="21">
        <f>C54+C55+C56+C57+C58</f>
        <v>103</v>
      </c>
      <c r="D53" s="21">
        <f>D54+D55+D56+D57+D58</f>
        <v>99</v>
      </c>
      <c r="E53" s="22">
        <f>D53/C53</f>
        <v>0.96116504854368934</v>
      </c>
      <c r="F53" s="21">
        <f>F54+F55+F56+F57+F58</f>
        <v>33</v>
      </c>
      <c r="G53" s="21">
        <f>G54+G55+G56+G57+G58</f>
        <v>23</v>
      </c>
      <c r="H53" s="22">
        <f>G53/F53</f>
        <v>0.69696969696969702</v>
      </c>
      <c r="I53" s="21">
        <f>I54+I55+I56+I57+I58</f>
        <v>57</v>
      </c>
      <c r="J53" s="21">
        <f>J54+J55+J56+J57+J58</f>
        <v>54</v>
      </c>
      <c r="K53" s="22">
        <f>J53/I53</f>
        <v>0.94736842105263153</v>
      </c>
      <c r="L53" s="21">
        <f>L54+L55+L56+L57+L58</f>
        <v>41</v>
      </c>
      <c r="M53" s="21">
        <f>M54+M55+M56+M57+M58</f>
        <v>34</v>
      </c>
      <c r="N53" s="22">
        <f>M53/L53</f>
        <v>0.82926829268292679</v>
      </c>
      <c r="O53" s="21">
        <f>O54+O55+O56+O57+O58</f>
        <v>99</v>
      </c>
      <c r="P53" s="21">
        <f>P54+P55+P56+P57+P58</f>
        <v>64</v>
      </c>
      <c r="Q53" s="22"/>
      <c r="R53" s="21">
        <f t="shared" si="39"/>
        <v>333</v>
      </c>
      <c r="S53" s="21">
        <f t="shared" si="39"/>
        <v>274</v>
      </c>
      <c r="T53" s="22">
        <f>S53/R53</f>
        <v>0.82282282282282282</v>
      </c>
      <c r="U53" s="33"/>
      <c r="V53" s="20"/>
      <c r="W53" s="20"/>
      <c r="X53" s="20"/>
      <c r="Y53" s="20"/>
      <c r="Z53" s="20"/>
      <c r="AA53" s="20"/>
      <c r="AB53" s="1"/>
      <c r="AC53" s="1"/>
      <c r="AD53" s="1"/>
      <c r="AE53" s="1"/>
      <c r="AF53" s="1"/>
    </row>
    <row r="54" spans="1:32" ht="14.25" customHeight="1" thickBot="1" x14ac:dyDescent="0.4">
      <c r="A54" s="1"/>
      <c r="B54" s="6" t="s">
        <v>17</v>
      </c>
      <c r="C54" s="24">
        <v>103</v>
      </c>
      <c r="D54" s="24">
        <v>99</v>
      </c>
      <c r="E54" s="5">
        <f>D54/C54</f>
        <v>0.96116504854368934</v>
      </c>
      <c r="F54" s="24">
        <v>33</v>
      </c>
      <c r="G54" s="24">
        <v>23</v>
      </c>
      <c r="H54" s="23">
        <f>G54/F54</f>
        <v>0.69696969696969702</v>
      </c>
      <c r="I54" s="24">
        <v>57</v>
      </c>
      <c r="J54" s="24">
        <v>54</v>
      </c>
      <c r="K54" s="5">
        <f>J54/I54</f>
        <v>0.94736842105263153</v>
      </c>
      <c r="L54" s="24">
        <v>41</v>
      </c>
      <c r="M54" s="24">
        <v>34</v>
      </c>
      <c r="N54" s="5">
        <f>M54/L54</f>
        <v>0.82926829268292679</v>
      </c>
      <c r="O54" s="24">
        <v>99</v>
      </c>
      <c r="P54" s="24">
        <v>64</v>
      </c>
      <c r="Q54" s="5">
        <f>P54/O54</f>
        <v>0.64646464646464652</v>
      </c>
      <c r="R54" s="24">
        <f t="shared" si="39"/>
        <v>333</v>
      </c>
      <c r="S54" s="24">
        <f t="shared" si="39"/>
        <v>274</v>
      </c>
      <c r="T54" s="5">
        <f>S54/R54</f>
        <v>0.82282282282282282</v>
      </c>
      <c r="U54" s="33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25" customHeight="1" thickBot="1" x14ac:dyDescent="0.4">
      <c r="A55" s="1"/>
      <c r="B55" s="6" t="s">
        <v>18</v>
      </c>
      <c r="C55" s="24"/>
      <c r="D55" s="24"/>
      <c r="E55" s="5"/>
      <c r="F55" s="24"/>
      <c r="G55" s="24"/>
      <c r="H55" s="5"/>
      <c r="I55" s="24"/>
      <c r="J55" s="24"/>
      <c r="K55" s="5"/>
      <c r="L55" s="24"/>
      <c r="M55" s="24"/>
      <c r="N55" s="5"/>
      <c r="O55" s="24"/>
      <c r="P55" s="24"/>
      <c r="Q55" s="5"/>
      <c r="R55" s="24"/>
      <c r="S55" s="24"/>
      <c r="T55" s="5"/>
      <c r="U55" s="33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25" customHeight="1" thickBot="1" x14ac:dyDescent="0.4">
      <c r="A56" s="1"/>
      <c r="B56" s="6" t="s">
        <v>19</v>
      </c>
      <c r="C56" s="24"/>
      <c r="D56" s="24"/>
      <c r="E56" s="5"/>
      <c r="F56" s="24"/>
      <c r="G56" s="24"/>
      <c r="H56" s="5"/>
      <c r="I56" s="24"/>
      <c r="J56" s="24"/>
      <c r="K56" s="5"/>
      <c r="L56" s="24"/>
      <c r="M56" s="24"/>
      <c r="N56" s="5"/>
      <c r="O56" s="24"/>
      <c r="P56" s="24"/>
      <c r="Q56" s="5"/>
      <c r="R56" s="24"/>
      <c r="S56" s="24"/>
      <c r="T56" s="5"/>
      <c r="U56" s="3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25" customHeight="1" thickBot="1" x14ac:dyDescent="0.4">
      <c r="A57" s="1"/>
      <c r="B57" s="6" t="s">
        <v>20</v>
      </c>
      <c r="C57" s="24"/>
      <c r="D57" s="24"/>
      <c r="E57" s="5"/>
      <c r="F57" s="24"/>
      <c r="G57" s="24"/>
      <c r="H57" s="5"/>
      <c r="I57" s="24"/>
      <c r="J57" s="24"/>
      <c r="K57" s="5"/>
      <c r="L57" s="24"/>
      <c r="M57" s="24"/>
      <c r="N57" s="23"/>
      <c r="O57" s="24"/>
      <c r="P57" s="24"/>
      <c r="Q57" s="5"/>
      <c r="R57" s="24"/>
      <c r="S57" s="24"/>
      <c r="T57" s="5"/>
      <c r="U57" s="3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25" customHeight="1" thickBot="1" x14ac:dyDescent="0.4">
      <c r="A58" s="1"/>
      <c r="B58" s="6" t="s">
        <v>21</v>
      </c>
      <c r="C58" s="24"/>
      <c r="D58" s="24"/>
      <c r="E58" s="5"/>
      <c r="F58" s="24"/>
      <c r="G58" s="24"/>
      <c r="H58" s="5"/>
      <c r="I58" s="24"/>
      <c r="J58" s="24"/>
      <c r="K58" s="5"/>
      <c r="L58" s="24"/>
      <c r="M58" s="24"/>
      <c r="N58" s="5"/>
      <c r="O58" s="24"/>
      <c r="P58" s="24"/>
      <c r="Q58" s="5"/>
      <c r="R58" s="24"/>
      <c r="S58" s="24"/>
      <c r="T58" s="5"/>
      <c r="U58" s="3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25" customHeight="1" thickBot="1" x14ac:dyDescent="0.4">
      <c r="A59" s="1"/>
      <c r="B59" s="4" t="s">
        <v>22</v>
      </c>
      <c r="C59" s="24"/>
      <c r="D59" s="24"/>
      <c r="E59" s="5"/>
      <c r="F59" s="24"/>
      <c r="G59" s="24"/>
      <c r="H59" s="5"/>
      <c r="I59" s="24"/>
      <c r="J59" s="24"/>
      <c r="K59" s="5"/>
      <c r="L59" s="24"/>
      <c r="M59" s="24"/>
      <c r="N59" s="5"/>
      <c r="O59" s="24"/>
      <c r="P59" s="24"/>
      <c r="Q59" s="5"/>
      <c r="R59" s="24"/>
      <c r="S59" s="24"/>
      <c r="T59" s="5"/>
      <c r="U59" s="3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25" customHeight="1" thickBot="1" x14ac:dyDescent="0.4">
      <c r="A60" s="1"/>
      <c r="B60" s="4" t="s">
        <v>23</v>
      </c>
      <c r="C60" s="24"/>
      <c r="D60" s="24"/>
      <c r="E60" s="5"/>
      <c r="F60" s="24"/>
      <c r="G60" s="24"/>
      <c r="H60" s="5"/>
      <c r="I60" s="24"/>
      <c r="J60" s="24"/>
      <c r="K60" s="5"/>
      <c r="L60" s="24"/>
      <c r="M60" s="24"/>
      <c r="N60" s="5"/>
      <c r="O60" s="24"/>
      <c r="P60" s="24"/>
      <c r="Q60" s="5"/>
      <c r="R60" s="24">
        <f t="shared" ref="R60:R61" si="40">C60+F60+I60+L60+O60</f>
        <v>0</v>
      </c>
      <c r="S60" s="24">
        <f t="shared" ref="S60:S61" si="41">D60+G60+J60+M60+P60</f>
        <v>0</v>
      </c>
      <c r="T60" s="5" t="e">
        <f t="shared" ref="T60:T61" si="42">S60/R60</f>
        <v>#DIV/0!</v>
      </c>
      <c r="U60" s="3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 thickBot="1" x14ac:dyDescent="0.4">
      <c r="A61" s="1"/>
      <c r="B61" s="4" t="s">
        <v>24</v>
      </c>
      <c r="C61" s="24"/>
      <c r="D61" s="24"/>
      <c r="E61" s="5"/>
      <c r="F61" s="24"/>
      <c r="G61" s="24"/>
      <c r="H61" s="5"/>
      <c r="I61" s="24"/>
      <c r="J61" s="24"/>
      <c r="K61" s="5"/>
      <c r="L61" s="24"/>
      <c r="M61" s="24"/>
      <c r="N61" s="5"/>
      <c r="O61" s="24"/>
      <c r="P61" s="24"/>
      <c r="Q61" s="5"/>
      <c r="R61" s="24">
        <f t="shared" si="40"/>
        <v>0</v>
      </c>
      <c r="S61" s="24">
        <f t="shared" si="41"/>
        <v>0</v>
      </c>
      <c r="T61" s="5" t="e">
        <f t="shared" si="42"/>
        <v>#DIV/0!</v>
      </c>
      <c r="U61" s="3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25" customHeight="1" thickBot="1" x14ac:dyDescent="0.4">
      <c r="A62" s="1"/>
      <c r="B62" s="4" t="s">
        <v>25</v>
      </c>
      <c r="C62" s="24"/>
      <c r="D62" s="24"/>
      <c r="E62" s="5"/>
      <c r="F62" s="24"/>
      <c r="G62" s="24"/>
      <c r="H62" s="5"/>
      <c r="I62" s="24"/>
      <c r="J62" s="24"/>
      <c r="K62" s="5"/>
      <c r="L62" s="24"/>
      <c r="M62" s="24"/>
      <c r="N62" s="5"/>
      <c r="O62" s="24"/>
      <c r="P62" s="24"/>
      <c r="Q62" s="5"/>
      <c r="R62" s="24"/>
      <c r="S62" s="24"/>
      <c r="T62" s="5"/>
      <c r="U62" s="3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25" customHeight="1" thickBot="1" x14ac:dyDescent="0.4">
      <c r="A63" s="1"/>
      <c r="B63" s="25" t="s">
        <v>28</v>
      </c>
      <c r="C63" s="18">
        <f>C48+C52+C53+C59+C60+C61+C62</f>
        <v>106</v>
      </c>
      <c r="D63" s="18">
        <f>D48+D52+D53+D59+D60+D61+D62</f>
        <v>102</v>
      </c>
      <c r="E63" s="23">
        <f>D63/C63</f>
        <v>0.96226415094339623</v>
      </c>
      <c r="F63" s="18">
        <f>F48+F52+F53+F59+F60+F61+F62</f>
        <v>34</v>
      </c>
      <c r="G63" s="18">
        <f>G48+G52+G53+G59+G60+G61+G62</f>
        <v>23</v>
      </c>
      <c r="H63" s="23">
        <f>G63/F63</f>
        <v>0.67647058823529416</v>
      </c>
      <c r="I63" s="18">
        <f>I48+I52+I53+I59+I60+I61+I62</f>
        <v>64</v>
      </c>
      <c r="J63" s="18">
        <f>J48+J52+J53+J59+J60+J61+J62</f>
        <v>61</v>
      </c>
      <c r="K63" s="23">
        <f>J63/I63</f>
        <v>0.953125</v>
      </c>
      <c r="L63" s="18">
        <f>L48+L52+L53+L59+L60+L61+L62</f>
        <v>45</v>
      </c>
      <c r="M63" s="18">
        <f>M48+M52+M53+M59+M60+M61+M62</f>
        <v>36</v>
      </c>
      <c r="N63" s="23">
        <f>M63/L63</f>
        <v>0.8</v>
      </c>
      <c r="O63" s="18">
        <f>O48+O52+O53+O59+O60+O61+O62</f>
        <v>99</v>
      </c>
      <c r="P63" s="18">
        <f>P48+P52+P53+P59+P60+P61+P62</f>
        <v>64</v>
      </c>
      <c r="Q63" s="23">
        <f>P63/O63</f>
        <v>0.64646464646464652</v>
      </c>
      <c r="R63" s="18">
        <f>R48+R52+R53+R59+R60+R61+R62</f>
        <v>348</v>
      </c>
      <c r="S63" s="18">
        <f>S48+S52+S53+S59+S60+S61+S62</f>
        <v>286</v>
      </c>
      <c r="T63" s="23">
        <f>S63/R63</f>
        <v>0.82183908045977017</v>
      </c>
      <c r="U63" s="34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25" customHeight="1" thickBot="1" x14ac:dyDescent="0.4">
      <c r="A64" s="1"/>
      <c r="B64" s="2"/>
      <c r="C64" s="26"/>
      <c r="D64" s="26"/>
      <c r="E64" s="26"/>
      <c r="F64" s="26" t="s">
        <v>68</v>
      </c>
      <c r="G64" s="26" t="s">
        <v>69</v>
      </c>
      <c r="H64" s="1"/>
      <c r="I64" s="26"/>
      <c r="J64" s="26"/>
      <c r="K64" s="26"/>
      <c r="L64" s="26"/>
      <c r="M64" s="26" t="s">
        <v>70</v>
      </c>
      <c r="N64" s="1"/>
      <c r="O64" s="26"/>
      <c r="P64" s="1" t="s">
        <v>71</v>
      </c>
      <c r="Q64" s="1"/>
      <c r="R64" s="2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" customHeight="1" thickBot="1" x14ac:dyDescent="0.4">
      <c r="A65" s="1"/>
      <c r="B65" s="32" t="s">
        <v>1</v>
      </c>
      <c r="C65" s="35" t="s">
        <v>3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7"/>
      <c r="X65" s="35" t="s">
        <v>7</v>
      </c>
      <c r="Y65" s="36"/>
      <c r="Z65" s="37"/>
      <c r="AA65" s="45"/>
      <c r="AB65" s="1"/>
      <c r="AC65" s="1"/>
      <c r="AD65" s="1"/>
      <c r="AE65" s="1"/>
      <c r="AF65" s="1"/>
    </row>
    <row r="66" spans="1:32" ht="15" customHeight="1" thickBot="1" x14ac:dyDescent="0.4">
      <c r="A66" s="1"/>
      <c r="B66" s="33"/>
      <c r="C66" s="35" t="s">
        <v>47</v>
      </c>
      <c r="D66" s="36"/>
      <c r="E66" s="37"/>
      <c r="F66" s="35" t="s">
        <v>48</v>
      </c>
      <c r="G66" s="36"/>
      <c r="H66" s="37"/>
      <c r="I66" s="35" t="s">
        <v>49</v>
      </c>
      <c r="J66" s="36"/>
      <c r="K66" s="37"/>
      <c r="L66" s="35" t="s">
        <v>50</v>
      </c>
      <c r="M66" s="36"/>
      <c r="N66" s="37"/>
      <c r="O66" s="35" t="s">
        <v>51</v>
      </c>
      <c r="P66" s="36"/>
      <c r="Q66" s="37"/>
      <c r="R66" s="35" t="s">
        <v>52</v>
      </c>
      <c r="S66" s="36"/>
      <c r="T66" s="37"/>
      <c r="U66" s="35" t="s">
        <v>53</v>
      </c>
      <c r="V66" s="36"/>
      <c r="W66" s="37"/>
      <c r="X66" s="17"/>
      <c r="Y66" s="17"/>
      <c r="Z66" s="18"/>
      <c r="AA66" s="33"/>
      <c r="AB66" s="1"/>
      <c r="AC66" s="1"/>
      <c r="AD66" s="1"/>
      <c r="AE66" s="1"/>
      <c r="AF66" s="1"/>
    </row>
    <row r="67" spans="1:32" ht="14.25" customHeight="1" thickBot="1" x14ac:dyDescent="0.4">
      <c r="A67" s="1"/>
      <c r="B67" s="34"/>
      <c r="C67" s="19" t="s">
        <v>8</v>
      </c>
      <c r="D67" s="19" t="s">
        <v>9</v>
      </c>
      <c r="E67" s="19" t="s">
        <v>10</v>
      </c>
      <c r="F67" s="19" t="s">
        <v>8</v>
      </c>
      <c r="G67" s="19" t="s">
        <v>9</v>
      </c>
      <c r="H67" s="19" t="s">
        <v>10</v>
      </c>
      <c r="I67" s="19" t="s">
        <v>8</v>
      </c>
      <c r="J67" s="19" t="s">
        <v>9</v>
      </c>
      <c r="K67" s="19" t="s">
        <v>10</v>
      </c>
      <c r="L67" s="19" t="s">
        <v>8</v>
      </c>
      <c r="M67" s="19" t="s">
        <v>9</v>
      </c>
      <c r="N67" s="19" t="s">
        <v>10</v>
      </c>
      <c r="O67" s="19" t="s">
        <v>8</v>
      </c>
      <c r="P67" s="19" t="s">
        <v>9</v>
      </c>
      <c r="Q67" s="19" t="s">
        <v>10</v>
      </c>
      <c r="R67" s="19" t="s">
        <v>8</v>
      </c>
      <c r="S67" s="19" t="s">
        <v>9</v>
      </c>
      <c r="T67" s="19" t="s">
        <v>10</v>
      </c>
      <c r="U67" s="19" t="s">
        <v>8</v>
      </c>
      <c r="V67" s="19" t="s">
        <v>9</v>
      </c>
      <c r="W67" s="19" t="s">
        <v>10</v>
      </c>
      <c r="X67" s="19" t="s">
        <v>8</v>
      </c>
      <c r="Y67" s="19" t="s">
        <v>9</v>
      </c>
      <c r="Z67" s="19" t="s">
        <v>10</v>
      </c>
      <c r="AA67" s="33"/>
      <c r="AB67" s="1"/>
      <c r="AC67" s="1"/>
      <c r="AD67" s="1"/>
      <c r="AE67" s="1"/>
      <c r="AF67" s="1"/>
    </row>
    <row r="68" spans="1:32" ht="14.25" customHeight="1" thickBot="1" x14ac:dyDescent="0.4">
      <c r="A68" s="1"/>
      <c r="B68" s="27" t="s">
        <v>54</v>
      </c>
      <c r="C68" s="21">
        <f>C69+C70+C71</f>
        <v>36</v>
      </c>
      <c r="D68" s="21">
        <f>D69+D70+D71</f>
        <v>36</v>
      </c>
      <c r="E68" s="28"/>
      <c r="F68" s="21">
        <f>F69+F70+F71</f>
        <v>10</v>
      </c>
      <c r="G68" s="21">
        <f>G69+G70+G71</f>
        <v>5</v>
      </c>
      <c r="H68" s="28">
        <f>G68/F68</f>
        <v>0.5</v>
      </c>
      <c r="I68" s="21">
        <f>I69+I70+I71</f>
        <v>1</v>
      </c>
      <c r="J68" s="21">
        <f>J69+J70+J71</f>
        <v>1</v>
      </c>
      <c r="K68" s="5">
        <f>J68/I68</f>
        <v>1</v>
      </c>
      <c r="L68" s="21">
        <f>L69+L70+L71</f>
        <v>13</v>
      </c>
      <c r="M68" s="21">
        <f>M69+M70+M71</f>
        <v>6</v>
      </c>
      <c r="N68" s="5">
        <f>M68/L68</f>
        <v>0.46153846153846156</v>
      </c>
      <c r="O68" s="21">
        <f>O69+O70+O71</f>
        <v>15</v>
      </c>
      <c r="P68" s="21">
        <f>P69+P70+P71</f>
        <v>4</v>
      </c>
      <c r="Q68" s="5">
        <f>P68/O68</f>
        <v>0.26666666666666666</v>
      </c>
      <c r="R68" s="21">
        <f>R69+R70+R71</f>
        <v>16</v>
      </c>
      <c r="S68" s="21">
        <f>S69+S70+S71</f>
        <v>0</v>
      </c>
      <c r="T68" s="28"/>
      <c r="U68" s="21">
        <f>U69+U70+U71</f>
        <v>4</v>
      </c>
      <c r="V68" s="21">
        <f>V69+V70+V71</f>
        <v>4</v>
      </c>
      <c r="W68" s="28"/>
      <c r="X68" s="21">
        <f>F68+C68+I68+L68+O68+R68+U68</f>
        <v>95</v>
      </c>
      <c r="Y68" s="21">
        <f>G68+D68+J68+M68+P68+S68+V68</f>
        <v>56</v>
      </c>
      <c r="Z68" s="28">
        <f>Y68/X68</f>
        <v>0.58947368421052626</v>
      </c>
      <c r="AA68" s="33"/>
      <c r="AB68" s="1"/>
      <c r="AC68" s="1"/>
      <c r="AD68" s="1"/>
      <c r="AE68" s="1"/>
      <c r="AF68" s="1"/>
    </row>
    <row r="69" spans="1:32" ht="14.25" customHeight="1" thickBot="1" x14ac:dyDescent="0.4">
      <c r="A69" s="1"/>
      <c r="B69" s="6" t="s">
        <v>12</v>
      </c>
      <c r="C69" s="24">
        <v>36</v>
      </c>
      <c r="D69" s="24">
        <v>36</v>
      </c>
      <c r="E69" s="5">
        <f>D69/C69</f>
        <v>1</v>
      </c>
      <c r="F69" s="24">
        <v>10</v>
      </c>
      <c r="G69" s="24">
        <v>5</v>
      </c>
      <c r="H69" s="5">
        <f>G69/F69</f>
        <v>0.5</v>
      </c>
      <c r="I69" s="24">
        <v>1</v>
      </c>
      <c r="J69" s="24">
        <v>1</v>
      </c>
      <c r="K69" s="5">
        <f>J69/I69</f>
        <v>1</v>
      </c>
      <c r="L69" s="24">
        <v>13</v>
      </c>
      <c r="M69" s="24">
        <v>6</v>
      </c>
      <c r="N69" s="5">
        <f>M69/L69</f>
        <v>0.46153846153846156</v>
      </c>
      <c r="O69" s="24">
        <v>15</v>
      </c>
      <c r="P69" s="24">
        <v>4</v>
      </c>
      <c r="Q69" s="5">
        <f>P69/O69</f>
        <v>0.26666666666666666</v>
      </c>
      <c r="R69" s="24">
        <v>16</v>
      </c>
      <c r="S69" s="24">
        <v>0</v>
      </c>
      <c r="T69" s="5">
        <f>S69/R69</f>
        <v>0</v>
      </c>
      <c r="U69" s="24">
        <v>4</v>
      </c>
      <c r="V69" s="24">
        <v>4</v>
      </c>
      <c r="W69" s="5">
        <f>V69/U69</f>
        <v>1</v>
      </c>
      <c r="X69" s="24">
        <f>F69+C69+I69+L69+O69+R69+U69</f>
        <v>95</v>
      </c>
      <c r="Y69" s="24">
        <f>G69+D69+J69+M69+P69+S69+V69</f>
        <v>56</v>
      </c>
      <c r="Z69" s="5">
        <f>Y69/X69</f>
        <v>0.58947368421052626</v>
      </c>
      <c r="AA69" s="33"/>
      <c r="AB69" s="1"/>
      <c r="AC69" s="1"/>
      <c r="AD69" s="1"/>
      <c r="AE69" s="1"/>
      <c r="AF69" s="1"/>
    </row>
    <row r="70" spans="1:32" ht="14.25" customHeight="1" thickBot="1" x14ac:dyDescent="0.4">
      <c r="A70" s="1"/>
      <c r="B70" s="6" t="s">
        <v>13</v>
      </c>
      <c r="C70" s="24"/>
      <c r="D70" s="24"/>
      <c r="E70" s="5"/>
      <c r="F70" s="24"/>
      <c r="G70" s="24"/>
      <c r="H70" s="5"/>
      <c r="I70" s="24"/>
      <c r="J70" s="24"/>
      <c r="K70" s="5"/>
      <c r="L70" s="24"/>
      <c r="M70" s="24"/>
      <c r="N70" s="5"/>
      <c r="O70" s="24"/>
      <c r="P70" s="24"/>
      <c r="Q70" s="5"/>
      <c r="R70" s="24"/>
      <c r="S70" s="24"/>
      <c r="T70" s="5"/>
      <c r="U70" s="24"/>
      <c r="V70" s="24"/>
      <c r="W70" s="5"/>
      <c r="X70" s="24"/>
      <c r="Y70" s="24"/>
      <c r="Z70" s="5"/>
      <c r="AA70" s="33"/>
      <c r="AB70" s="1"/>
      <c r="AC70" s="1"/>
      <c r="AD70" s="1"/>
      <c r="AE70" s="1"/>
      <c r="AF70" s="1"/>
    </row>
    <row r="71" spans="1:32" ht="14.25" customHeight="1" thickBot="1" x14ac:dyDescent="0.4">
      <c r="A71" s="1"/>
      <c r="B71" s="6" t="s">
        <v>14</v>
      </c>
      <c r="C71" s="24"/>
      <c r="D71" s="24"/>
      <c r="E71" s="5"/>
      <c r="F71" s="24"/>
      <c r="G71" s="24"/>
      <c r="H71" s="5"/>
      <c r="I71" s="24"/>
      <c r="J71" s="24"/>
      <c r="K71" s="5"/>
      <c r="L71" s="24"/>
      <c r="M71" s="24"/>
      <c r="N71" s="5"/>
      <c r="O71" s="24"/>
      <c r="P71" s="24"/>
      <c r="Q71" s="5"/>
      <c r="R71" s="24"/>
      <c r="S71" s="24"/>
      <c r="T71" s="5"/>
      <c r="U71" s="24"/>
      <c r="V71" s="24"/>
      <c r="W71" s="5"/>
      <c r="X71" s="24"/>
      <c r="Y71" s="24"/>
      <c r="Z71" s="5"/>
      <c r="AA71" s="33"/>
      <c r="AB71" s="1"/>
      <c r="AC71" s="1"/>
      <c r="AD71" s="1"/>
      <c r="AE71" s="1"/>
      <c r="AF71" s="1"/>
    </row>
    <row r="72" spans="1:32" ht="14.25" customHeight="1" thickBot="1" x14ac:dyDescent="0.4">
      <c r="A72" s="1"/>
      <c r="B72" s="4" t="s">
        <v>15</v>
      </c>
      <c r="C72" s="24"/>
      <c r="D72" s="24"/>
      <c r="E72" s="5" t="e">
        <f>D72/C72</f>
        <v>#DIV/0!</v>
      </c>
      <c r="F72" s="24">
        <v>14</v>
      </c>
      <c r="G72" s="30">
        <v>3</v>
      </c>
      <c r="H72" s="5">
        <f>G72/F72</f>
        <v>0.21428571428571427</v>
      </c>
      <c r="I72" s="24"/>
      <c r="J72" s="24"/>
      <c r="K72" s="5"/>
      <c r="L72" s="24">
        <v>2</v>
      </c>
      <c r="M72" s="24">
        <v>1</v>
      </c>
      <c r="N72" s="5">
        <f>M72/L72</f>
        <v>0.5</v>
      </c>
      <c r="O72" s="24">
        <v>8</v>
      </c>
      <c r="P72" s="24">
        <v>5</v>
      </c>
      <c r="Q72" s="5">
        <f>P72/O72</f>
        <v>0.625</v>
      </c>
      <c r="R72" s="24"/>
      <c r="S72" s="24"/>
      <c r="T72" s="5" t="e">
        <f>S72/R72</f>
        <v>#DIV/0!</v>
      </c>
      <c r="U72" s="24"/>
      <c r="V72" s="24"/>
      <c r="W72" s="5"/>
      <c r="X72" s="24">
        <f t="shared" ref="X72:Y74" si="43">F72+C72+I72+L72+O72+R72+U72</f>
        <v>24</v>
      </c>
      <c r="Y72" s="24">
        <f t="shared" si="43"/>
        <v>9</v>
      </c>
      <c r="Z72" s="5">
        <f>Y72/X72</f>
        <v>0.375</v>
      </c>
      <c r="AA72" s="33"/>
      <c r="AB72" s="1"/>
      <c r="AC72" s="1"/>
      <c r="AD72" s="1"/>
      <c r="AE72" s="1"/>
      <c r="AF72" s="1"/>
    </row>
    <row r="73" spans="1:32" ht="14.25" customHeight="1" thickBot="1" x14ac:dyDescent="0.4">
      <c r="A73" s="1"/>
      <c r="B73" s="27" t="s">
        <v>16</v>
      </c>
      <c r="C73" s="21">
        <f>C74+C75+C76+C77+C78</f>
        <v>0</v>
      </c>
      <c r="D73" s="21">
        <f>D74+D75+D76+D77+D78</f>
        <v>0</v>
      </c>
      <c r="E73" s="28" t="e">
        <f>D73/C73</f>
        <v>#DIV/0!</v>
      </c>
      <c r="F73" s="21">
        <f>F74+F75+F76+F77+F78</f>
        <v>28</v>
      </c>
      <c r="G73" s="21">
        <f>G74+G75+G76+G77+G78</f>
        <v>20</v>
      </c>
      <c r="H73" s="28">
        <f>G73/F73</f>
        <v>0.7142857142857143</v>
      </c>
      <c r="I73" s="21">
        <f>I74+I75+I76+I77+I78</f>
        <v>13</v>
      </c>
      <c r="J73" s="21">
        <f>J74+J75+J76+J77+J78</f>
        <v>7</v>
      </c>
      <c r="K73" s="28">
        <f>J73/I73</f>
        <v>0.53846153846153844</v>
      </c>
      <c r="L73" s="21">
        <f>L74+L75+L76+L77+L78</f>
        <v>52</v>
      </c>
      <c r="M73" s="21">
        <f>M74+M75+M76+M77+M78</f>
        <v>40</v>
      </c>
      <c r="N73" s="28">
        <f>M73/L73</f>
        <v>0.76923076923076927</v>
      </c>
      <c r="O73" s="21">
        <f>O74+O75+O76+O77+O78</f>
        <v>71</v>
      </c>
      <c r="P73" s="21">
        <f>P74+P75+P76+P77+P78</f>
        <v>41</v>
      </c>
      <c r="Q73" s="28">
        <f>P73/O73</f>
        <v>0.57746478873239437</v>
      </c>
      <c r="R73" s="21">
        <f>R74+R75+R76+R77+R78</f>
        <v>39</v>
      </c>
      <c r="S73" s="21">
        <f>S74+S75+S76+S77+S78</f>
        <v>14</v>
      </c>
      <c r="T73" s="28">
        <f>S73/R73</f>
        <v>0.35897435897435898</v>
      </c>
      <c r="U73" s="21">
        <f>U74+U75+U76+U77+U78</f>
        <v>29</v>
      </c>
      <c r="V73" s="21">
        <f>V74+V75+V76+V77+V78</f>
        <v>28</v>
      </c>
      <c r="W73" s="28">
        <f>V73/U73</f>
        <v>0.96551724137931039</v>
      </c>
      <c r="X73" s="21">
        <f t="shared" si="43"/>
        <v>232</v>
      </c>
      <c r="Y73" s="21">
        <f t="shared" si="43"/>
        <v>150</v>
      </c>
      <c r="Z73" s="22">
        <f>Y73/X73</f>
        <v>0.64655172413793105</v>
      </c>
      <c r="AA73" s="33"/>
      <c r="AB73" s="1"/>
      <c r="AC73" s="1"/>
      <c r="AD73" s="1"/>
      <c r="AE73" s="1"/>
      <c r="AF73" s="1"/>
    </row>
    <row r="74" spans="1:32" ht="14.25" customHeight="1" thickBot="1" x14ac:dyDescent="0.4">
      <c r="A74" s="1"/>
      <c r="B74" s="6" t="s">
        <v>17</v>
      </c>
      <c r="C74" s="24"/>
      <c r="D74" s="24"/>
      <c r="E74" s="5" t="e">
        <f>D74/C74</f>
        <v>#DIV/0!</v>
      </c>
      <c r="F74" s="24">
        <v>26</v>
      </c>
      <c r="G74" s="24">
        <v>18</v>
      </c>
      <c r="H74" s="5">
        <f>G74/F74</f>
        <v>0.69230769230769229</v>
      </c>
      <c r="I74" s="24">
        <v>13</v>
      </c>
      <c r="J74" s="24">
        <v>7</v>
      </c>
      <c r="K74" s="5">
        <f>J74/I74</f>
        <v>0.53846153846153844</v>
      </c>
      <c r="L74" s="24">
        <v>52</v>
      </c>
      <c r="M74" s="24">
        <v>40</v>
      </c>
      <c r="N74" s="5">
        <f>M74/L74</f>
        <v>0.76923076923076927</v>
      </c>
      <c r="O74" s="24">
        <v>71</v>
      </c>
      <c r="P74" s="24">
        <v>41</v>
      </c>
      <c r="Q74" s="5">
        <f>P74/O74</f>
        <v>0.57746478873239437</v>
      </c>
      <c r="R74" s="24">
        <v>39</v>
      </c>
      <c r="S74" s="24">
        <v>14</v>
      </c>
      <c r="T74" s="5">
        <f>S74/R74</f>
        <v>0.35897435897435898</v>
      </c>
      <c r="U74" s="24">
        <v>29</v>
      </c>
      <c r="V74" s="24">
        <v>28</v>
      </c>
      <c r="W74" s="5">
        <f>V74/U74</f>
        <v>0.96551724137931039</v>
      </c>
      <c r="X74" s="24">
        <f t="shared" si="43"/>
        <v>230</v>
      </c>
      <c r="Y74" s="24">
        <f t="shared" si="43"/>
        <v>148</v>
      </c>
      <c r="Z74" s="5">
        <f>Y74/X74</f>
        <v>0.64347826086956517</v>
      </c>
      <c r="AA74" s="33"/>
      <c r="AB74" s="1"/>
      <c r="AC74" s="1"/>
      <c r="AD74" s="1"/>
      <c r="AE74" s="1"/>
      <c r="AF74" s="1"/>
    </row>
    <row r="75" spans="1:32" ht="14.25" customHeight="1" thickBot="1" x14ac:dyDescent="0.4">
      <c r="A75" s="1"/>
      <c r="B75" s="6" t="s">
        <v>18</v>
      </c>
      <c r="C75" s="24"/>
      <c r="D75" s="24"/>
      <c r="E75" s="5"/>
      <c r="F75" s="24">
        <v>2</v>
      </c>
      <c r="G75" s="24">
        <v>2</v>
      </c>
      <c r="H75" s="5"/>
      <c r="I75" s="24"/>
      <c r="J75" s="24"/>
      <c r="K75" s="5"/>
      <c r="L75" s="24"/>
      <c r="M75" s="24"/>
      <c r="N75" s="5"/>
      <c r="O75" s="24"/>
      <c r="P75" s="24"/>
      <c r="Q75" s="5"/>
      <c r="R75" s="24"/>
      <c r="S75" s="24"/>
      <c r="T75" s="5"/>
      <c r="U75" s="24"/>
      <c r="V75" s="24"/>
      <c r="W75" s="5"/>
      <c r="X75" s="24"/>
      <c r="Y75" s="24"/>
      <c r="Z75" s="5"/>
      <c r="AA75" s="33"/>
      <c r="AB75" s="1"/>
      <c r="AC75" s="1"/>
      <c r="AD75" s="1"/>
      <c r="AE75" s="1"/>
      <c r="AF75" s="1"/>
    </row>
    <row r="76" spans="1:32" ht="14.25" customHeight="1" thickBot="1" x14ac:dyDescent="0.4">
      <c r="A76" s="1"/>
      <c r="B76" s="6" t="s">
        <v>19</v>
      </c>
      <c r="C76" s="24"/>
      <c r="D76" s="24"/>
      <c r="E76" s="5"/>
      <c r="F76" s="24"/>
      <c r="G76" s="24"/>
      <c r="H76" s="5"/>
      <c r="I76" s="24"/>
      <c r="J76" s="24"/>
      <c r="K76" s="5"/>
      <c r="L76" s="24"/>
      <c r="M76" s="24"/>
      <c r="N76" s="5"/>
      <c r="O76" s="24"/>
      <c r="P76" s="24"/>
      <c r="Q76" s="5"/>
      <c r="R76" s="24"/>
      <c r="S76" s="24"/>
      <c r="T76" s="5"/>
      <c r="U76" s="24"/>
      <c r="V76" s="24"/>
      <c r="W76" s="5"/>
      <c r="X76" s="24"/>
      <c r="Y76" s="24"/>
      <c r="Z76" s="5"/>
      <c r="AA76" s="33"/>
      <c r="AB76" s="1"/>
      <c r="AC76" s="1"/>
      <c r="AD76" s="1"/>
      <c r="AE76" s="1"/>
      <c r="AF76" s="1"/>
    </row>
    <row r="77" spans="1:32" ht="14.25" customHeight="1" thickBot="1" x14ac:dyDescent="0.4">
      <c r="A77" s="1"/>
      <c r="B77" s="6" t="s">
        <v>20</v>
      </c>
      <c r="C77" s="24"/>
      <c r="D77" s="24"/>
      <c r="E77" s="5"/>
      <c r="F77" s="24"/>
      <c r="G77" s="24"/>
      <c r="H77" s="5"/>
      <c r="I77" s="24"/>
      <c r="J77" s="24"/>
      <c r="K77" s="5"/>
      <c r="L77" s="24"/>
      <c r="M77" s="24"/>
      <c r="N77" s="5"/>
      <c r="O77" s="24"/>
      <c r="P77" s="24"/>
      <c r="Q77" s="5"/>
      <c r="R77" s="24"/>
      <c r="S77" s="24"/>
      <c r="T77" s="5"/>
      <c r="U77" s="24"/>
      <c r="V77" s="24"/>
      <c r="W77" s="5"/>
      <c r="X77" s="24"/>
      <c r="Y77" s="24"/>
      <c r="Z77" s="5"/>
      <c r="AA77" s="33"/>
      <c r="AB77" s="1"/>
      <c r="AC77" s="1"/>
      <c r="AD77" s="1"/>
      <c r="AE77" s="1"/>
      <c r="AF77" s="1"/>
    </row>
    <row r="78" spans="1:32" ht="14.25" customHeight="1" thickBot="1" x14ac:dyDescent="0.4">
      <c r="A78" s="1"/>
      <c r="B78" s="6" t="s">
        <v>21</v>
      </c>
      <c r="C78" s="24"/>
      <c r="D78" s="24"/>
      <c r="E78" s="5"/>
      <c r="F78" s="24"/>
      <c r="G78" s="24"/>
      <c r="H78" s="5"/>
      <c r="I78" s="24"/>
      <c r="J78" s="24"/>
      <c r="K78" s="5"/>
      <c r="L78" s="24"/>
      <c r="M78" s="24"/>
      <c r="N78" s="5"/>
      <c r="O78" s="24"/>
      <c r="P78" s="24"/>
      <c r="Q78" s="5"/>
      <c r="R78" s="24"/>
      <c r="S78" s="24"/>
      <c r="T78" s="5"/>
      <c r="U78" s="24"/>
      <c r="V78" s="24"/>
      <c r="W78" s="5"/>
      <c r="X78" s="24"/>
      <c r="Y78" s="24"/>
      <c r="Z78" s="5"/>
      <c r="AA78" s="33"/>
      <c r="AB78" s="1"/>
      <c r="AC78" s="1"/>
      <c r="AD78" s="1"/>
      <c r="AE78" s="1"/>
      <c r="AF78" s="1"/>
    </row>
    <row r="79" spans="1:32" ht="14.25" customHeight="1" thickBot="1" x14ac:dyDescent="0.4">
      <c r="A79" s="1"/>
      <c r="B79" s="4" t="s">
        <v>22</v>
      </c>
      <c r="C79" s="24"/>
      <c r="D79" s="24"/>
      <c r="E79" s="5"/>
      <c r="F79" s="24"/>
      <c r="G79" s="24"/>
      <c r="H79" s="5"/>
      <c r="I79" s="24"/>
      <c r="J79" s="24"/>
      <c r="K79" s="5"/>
      <c r="L79" s="24"/>
      <c r="M79" s="24"/>
      <c r="N79" s="5"/>
      <c r="O79" s="24"/>
      <c r="P79" s="24"/>
      <c r="Q79" s="5"/>
      <c r="R79" s="24"/>
      <c r="S79" s="24"/>
      <c r="T79" s="5"/>
      <c r="U79" s="24"/>
      <c r="V79" s="24"/>
      <c r="W79" s="5"/>
      <c r="X79" s="24"/>
      <c r="Y79" s="24"/>
      <c r="Z79" s="5"/>
      <c r="AA79" s="33"/>
      <c r="AB79" s="1"/>
      <c r="AC79" s="1"/>
      <c r="AD79" s="1"/>
      <c r="AE79" s="1"/>
      <c r="AF79" s="1"/>
    </row>
    <row r="80" spans="1:32" ht="14.25" customHeight="1" thickBot="1" x14ac:dyDescent="0.4">
      <c r="A80" s="1"/>
      <c r="B80" s="4" t="s">
        <v>23</v>
      </c>
      <c r="C80" s="24"/>
      <c r="D80" s="24"/>
      <c r="E80" s="5"/>
      <c r="F80" s="24">
        <v>9</v>
      </c>
      <c r="G80" s="24">
        <v>9</v>
      </c>
      <c r="H80" s="5">
        <f>G80/F80</f>
        <v>1</v>
      </c>
      <c r="I80" s="24">
        <v>1</v>
      </c>
      <c r="J80" s="24">
        <v>1</v>
      </c>
      <c r="K80" s="5">
        <f>J80/I80</f>
        <v>1</v>
      </c>
      <c r="L80" s="24">
        <v>3</v>
      </c>
      <c r="M80" s="24">
        <v>3</v>
      </c>
      <c r="N80" s="5">
        <f>M80/L80</f>
        <v>1</v>
      </c>
      <c r="O80" s="24"/>
      <c r="P80" s="24"/>
      <c r="Q80" s="5"/>
      <c r="R80" s="24"/>
      <c r="S80" s="24"/>
      <c r="T80" s="5"/>
      <c r="U80" s="24">
        <v>4</v>
      </c>
      <c r="V80" s="24">
        <v>4</v>
      </c>
      <c r="W80" s="5">
        <f>V80/U80</f>
        <v>1</v>
      </c>
      <c r="X80" s="24">
        <f t="shared" ref="X80:X81" si="44">F80+C80+I80+L80+O80+R80+U80</f>
        <v>17</v>
      </c>
      <c r="Y80" s="24">
        <f t="shared" ref="Y80:Y81" si="45">G80+D80+J80+M80+P80+S80+V80</f>
        <v>17</v>
      </c>
      <c r="Z80" s="5">
        <f t="shared" ref="Z80:Z81" si="46">Y80/X80</f>
        <v>1</v>
      </c>
      <c r="AA80" s="33"/>
      <c r="AB80" s="1"/>
      <c r="AC80" s="1"/>
      <c r="AD80" s="1"/>
      <c r="AE80" s="1"/>
      <c r="AF80" s="1"/>
    </row>
    <row r="81" spans="1:32" ht="14.25" customHeight="1" thickBot="1" x14ac:dyDescent="0.4">
      <c r="A81" s="1"/>
      <c r="B81" s="4" t="s">
        <v>24</v>
      </c>
      <c r="C81" s="24"/>
      <c r="D81" s="24"/>
      <c r="E81" s="5"/>
      <c r="F81" s="24"/>
      <c r="G81" s="24"/>
      <c r="H81" s="5"/>
      <c r="I81" s="24"/>
      <c r="J81" s="24"/>
      <c r="K81" s="5"/>
      <c r="L81" s="24"/>
      <c r="M81" s="24"/>
      <c r="N81" s="5"/>
      <c r="O81" s="24"/>
      <c r="P81" s="24"/>
      <c r="Q81" s="5"/>
      <c r="R81" s="24"/>
      <c r="S81" s="24"/>
      <c r="T81" s="5"/>
      <c r="U81" s="24"/>
      <c r="V81" s="24"/>
      <c r="W81" s="5"/>
      <c r="X81" s="24">
        <f t="shared" si="44"/>
        <v>0</v>
      </c>
      <c r="Y81" s="24">
        <f t="shared" si="45"/>
        <v>0</v>
      </c>
      <c r="Z81" s="5" t="e">
        <f t="shared" si="46"/>
        <v>#DIV/0!</v>
      </c>
      <c r="AA81" s="33"/>
      <c r="AB81" s="1"/>
      <c r="AC81" s="1"/>
      <c r="AD81" s="1"/>
      <c r="AE81" s="1"/>
      <c r="AF81" s="1"/>
    </row>
    <row r="82" spans="1:32" ht="14.25" customHeight="1" thickBot="1" x14ac:dyDescent="0.4">
      <c r="A82" s="1"/>
      <c r="B82" s="4" t="s">
        <v>25</v>
      </c>
      <c r="C82" s="24"/>
      <c r="D82" s="24"/>
      <c r="E82" s="5"/>
      <c r="F82" s="24"/>
      <c r="G82" s="24"/>
      <c r="H82" s="5"/>
      <c r="I82" s="24"/>
      <c r="J82" s="24"/>
      <c r="K82" s="5"/>
      <c r="L82" s="24"/>
      <c r="M82" s="24"/>
      <c r="N82" s="5"/>
      <c r="O82" s="24"/>
      <c r="P82" s="24"/>
      <c r="Q82" s="5"/>
      <c r="R82" s="24"/>
      <c r="S82" s="24"/>
      <c r="T82" s="5"/>
      <c r="U82" s="24"/>
      <c r="V82" s="24"/>
      <c r="W82" s="5"/>
      <c r="X82" s="24"/>
      <c r="Y82" s="24"/>
      <c r="Z82" s="5"/>
      <c r="AA82" s="33"/>
      <c r="AB82" s="1"/>
      <c r="AC82" s="1"/>
      <c r="AD82" s="1"/>
      <c r="AE82" s="1"/>
      <c r="AF82" s="1"/>
    </row>
    <row r="83" spans="1:32" ht="14.25" customHeight="1" thickBot="1" x14ac:dyDescent="0.4">
      <c r="A83" s="1"/>
      <c r="B83" s="25" t="s">
        <v>28</v>
      </c>
      <c r="C83" s="18">
        <f>C68+C72+C73+C78+C79+C80+C81+C82</f>
        <v>36</v>
      </c>
      <c r="D83" s="18">
        <f>D68+D72+D73+D78+D79+D80+D81+D82</f>
        <v>36</v>
      </c>
      <c r="E83" s="23">
        <f>D83/C83</f>
        <v>1</v>
      </c>
      <c r="F83" s="18">
        <f>F68+F72+F73+F78+F79+F80+F81+F82</f>
        <v>61</v>
      </c>
      <c r="G83" s="18">
        <f>G68+G72+G73+G78+G79+G80+G81+G82</f>
        <v>37</v>
      </c>
      <c r="H83" s="23">
        <f>G83/F83</f>
        <v>0.60655737704918034</v>
      </c>
      <c r="I83" s="18">
        <f>I68+I72+I73+I78+I79+I80+I81+I82</f>
        <v>15</v>
      </c>
      <c r="J83" s="18">
        <f>J68+J72+J73+J78+J79+J80+J81+J82</f>
        <v>9</v>
      </c>
      <c r="K83" s="23">
        <f>J83/I83</f>
        <v>0.6</v>
      </c>
      <c r="L83" s="18">
        <f>L68+L72+L73+L78+L79+L80+L81+L82</f>
        <v>70</v>
      </c>
      <c r="M83" s="18">
        <f>M68+M72+M73+M78+M79+M80+M81+M82</f>
        <v>50</v>
      </c>
      <c r="N83" s="23">
        <f>M83/L83</f>
        <v>0.7142857142857143</v>
      </c>
      <c r="O83" s="18">
        <f>O68+O72+O73+O78+O79+O80+O81+O82</f>
        <v>94</v>
      </c>
      <c r="P83" s="18">
        <f>P68+P72+P73+P78+P79+P80+P81+P82</f>
        <v>50</v>
      </c>
      <c r="Q83" s="23">
        <f>P83/O83</f>
        <v>0.53191489361702127</v>
      </c>
      <c r="R83" s="18">
        <f>R68+R72+R73+R78+R79+R80+R81+R82</f>
        <v>55</v>
      </c>
      <c r="S83" s="18">
        <f>S68+S72+S73+S78+S79+S80+S81+S82</f>
        <v>14</v>
      </c>
      <c r="T83" s="23">
        <f>S83/R83</f>
        <v>0.25454545454545452</v>
      </c>
      <c r="U83" s="18">
        <f>U68+U72+U73+U78+U79+U80+U81+U82</f>
        <v>37</v>
      </c>
      <c r="V83" s="18">
        <f>V68+V72+V73+V78+V79+V80+V81+V82</f>
        <v>36</v>
      </c>
      <c r="W83" s="23">
        <f>V83/U83</f>
        <v>0.97297297297297303</v>
      </c>
      <c r="X83" s="18">
        <f>X68+X72+X73+X79+X80+X81+X82</f>
        <v>368</v>
      </c>
      <c r="Y83" s="18">
        <f>Y68+Y72+Y73+Y79+Y80+Y81+Y82</f>
        <v>232</v>
      </c>
      <c r="Z83" s="23">
        <f>Y83/X83</f>
        <v>0.63043478260869568</v>
      </c>
      <c r="AA83" s="34"/>
      <c r="AB83" s="1"/>
      <c r="AC83" s="1"/>
      <c r="AD83" s="1"/>
      <c r="AE83" s="1"/>
      <c r="AF83" s="1"/>
    </row>
    <row r="84" spans="1:32" ht="14.25" customHeight="1" thickBot="1" x14ac:dyDescent="0.4">
      <c r="A84" s="1"/>
      <c r="B84" s="2"/>
      <c r="C84" s="26"/>
      <c r="D84" s="26"/>
      <c r="E84" s="26"/>
      <c r="F84" s="26"/>
      <c r="G84" s="26"/>
      <c r="H84" s="1"/>
      <c r="I84" s="26"/>
      <c r="J84" s="26"/>
      <c r="K84" s="26"/>
      <c r="L84" s="26"/>
      <c r="M84" s="26"/>
      <c r="N84" s="1"/>
      <c r="O84" s="26"/>
      <c r="P84" s="1"/>
      <c r="Q84" s="1"/>
      <c r="R84" s="2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" customHeight="1" thickBot="1" x14ac:dyDescent="0.4">
      <c r="A85" s="1"/>
      <c r="B85" s="41" t="s">
        <v>1</v>
      </c>
      <c r="C85" s="35" t="s">
        <v>4</v>
      </c>
      <c r="D85" s="36"/>
      <c r="E85" s="36"/>
      <c r="F85" s="36"/>
      <c r="G85" s="36"/>
      <c r="H85" s="36"/>
      <c r="I85" s="35" t="s">
        <v>7</v>
      </c>
      <c r="J85" s="36"/>
      <c r="K85" s="37"/>
      <c r="L85" s="39" t="s">
        <v>55</v>
      </c>
      <c r="M85" s="1"/>
      <c r="N85" s="1"/>
      <c r="O85" s="42"/>
      <c r="P85" s="4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" customHeight="1" thickBot="1" x14ac:dyDescent="0.4">
      <c r="A86" s="1"/>
      <c r="B86" s="33"/>
      <c r="C86" s="35" t="s">
        <v>56</v>
      </c>
      <c r="D86" s="36"/>
      <c r="E86" s="37"/>
      <c r="F86" s="35" t="s">
        <v>57</v>
      </c>
      <c r="G86" s="36"/>
      <c r="H86" s="37"/>
      <c r="I86" s="17"/>
      <c r="J86" s="17"/>
      <c r="K86" s="18"/>
      <c r="L86" s="33"/>
      <c r="M86" s="1"/>
      <c r="N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25" customHeight="1" thickBot="1" x14ac:dyDescent="0.4">
      <c r="A87" s="1"/>
      <c r="B87" s="34"/>
      <c r="C87" s="19" t="s">
        <v>8</v>
      </c>
      <c r="D87" s="19" t="s">
        <v>9</v>
      </c>
      <c r="E87" s="19" t="s">
        <v>10</v>
      </c>
      <c r="F87" s="19" t="s">
        <v>8</v>
      </c>
      <c r="G87" s="19" t="s">
        <v>9</v>
      </c>
      <c r="H87" s="19" t="s">
        <v>10</v>
      </c>
      <c r="I87" s="19" t="s">
        <v>8</v>
      </c>
      <c r="J87" s="19" t="s">
        <v>9</v>
      </c>
      <c r="K87" s="19" t="s">
        <v>10</v>
      </c>
      <c r="L87" s="33"/>
      <c r="M87" s="43" t="s">
        <v>66</v>
      </c>
      <c r="N87" s="44"/>
      <c r="O87" s="44"/>
      <c r="P87" s="44"/>
      <c r="Q87" s="44"/>
      <c r="R87" s="44"/>
      <c r="S87" s="44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25" customHeight="1" thickBot="1" x14ac:dyDescent="0.4">
      <c r="A88" s="1"/>
      <c r="B88" s="27" t="s">
        <v>54</v>
      </c>
      <c r="C88" s="21">
        <f>C89+C90+C91</f>
        <v>0</v>
      </c>
      <c r="D88" s="21">
        <f>D89+D90+D91</f>
        <v>0</v>
      </c>
      <c r="E88" s="28" t="e">
        <f>D88/C88</f>
        <v>#DIV/0!</v>
      </c>
      <c r="F88" s="21">
        <f>F89+F90+F91</f>
        <v>9</v>
      </c>
      <c r="G88" s="21">
        <f>G89+G90+G91</f>
        <v>9</v>
      </c>
      <c r="H88" s="28">
        <f>G88/F88</f>
        <v>1</v>
      </c>
      <c r="I88" s="21">
        <f>C88+F88</f>
        <v>9</v>
      </c>
      <c r="J88" s="21">
        <f>D88+G88</f>
        <v>9</v>
      </c>
      <c r="K88" s="22">
        <f>J88/I88</f>
        <v>1</v>
      </c>
      <c r="L88" s="33"/>
      <c r="M88" s="1"/>
      <c r="N88" s="1">
        <v>11.1</v>
      </c>
      <c r="O88" s="29"/>
      <c r="P88" s="29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25" customHeight="1" thickBot="1" x14ac:dyDescent="0.4">
      <c r="A89" s="1"/>
      <c r="B89" s="6" t="s">
        <v>58</v>
      </c>
      <c r="C89" s="24"/>
      <c r="D89" s="24"/>
      <c r="E89" s="5" t="e">
        <f>D89/C89</f>
        <v>#DIV/0!</v>
      </c>
      <c r="F89" s="24">
        <v>9</v>
      </c>
      <c r="G89" s="24">
        <v>9</v>
      </c>
      <c r="H89" s="5">
        <f>G89/F89</f>
        <v>1</v>
      </c>
      <c r="I89" s="24">
        <f t="shared" ref="I89:I92" si="47">C89+F89</f>
        <v>9</v>
      </c>
      <c r="J89" s="24">
        <f t="shared" ref="J89:J92" si="48">D89+G89</f>
        <v>9</v>
      </c>
      <c r="K89" s="5">
        <f t="shared" ref="K89:K92" si="49">J89/I89</f>
        <v>1</v>
      </c>
      <c r="L89" s="33"/>
      <c r="M89" s="1"/>
      <c r="N89" s="1">
        <v>109</v>
      </c>
      <c r="O89" s="29">
        <v>103</v>
      </c>
      <c r="P89" s="29" t="s">
        <v>65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25" customHeight="1" thickBot="1" x14ac:dyDescent="0.4">
      <c r="A90" s="1"/>
      <c r="B90" s="6" t="s">
        <v>13</v>
      </c>
      <c r="C90" s="24"/>
      <c r="D90" s="24"/>
      <c r="E90" s="5"/>
      <c r="F90" s="24"/>
      <c r="G90" s="24"/>
      <c r="H90" s="5"/>
      <c r="I90" s="24"/>
      <c r="J90" s="24"/>
      <c r="K90" s="5"/>
      <c r="L90" s="33"/>
      <c r="M90" s="1"/>
      <c r="N90" s="1"/>
      <c r="O90" s="29"/>
      <c r="P90" s="29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25" customHeight="1" thickBot="1" x14ac:dyDescent="0.4">
      <c r="A91" s="1"/>
      <c r="B91" s="6" t="s">
        <v>14</v>
      </c>
      <c r="C91" s="24"/>
      <c r="D91" s="24"/>
      <c r="E91" s="5"/>
      <c r="F91" s="24"/>
      <c r="G91" s="24"/>
      <c r="H91" s="5"/>
      <c r="I91" s="24"/>
      <c r="J91" s="24"/>
      <c r="K91" s="5"/>
      <c r="L91" s="33"/>
      <c r="M91" s="1"/>
      <c r="N91" s="1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25" customHeight="1" thickBot="1" x14ac:dyDescent="0.4">
      <c r="A92" s="1"/>
      <c r="B92" s="4" t="s">
        <v>15</v>
      </c>
      <c r="C92" s="24">
        <v>20</v>
      </c>
      <c r="D92" s="24">
        <v>20</v>
      </c>
      <c r="E92" s="5"/>
      <c r="F92" s="24"/>
      <c r="G92" s="24"/>
      <c r="H92" s="5" t="e">
        <f>G92/F92</f>
        <v>#DIV/0!</v>
      </c>
      <c r="I92" s="24">
        <f t="shared" si="47"/>
        <v>20</v>
      </c>
      <c r="J92" s="24">
        <f t="shared" si="48"/>
        <v>20</v>
      </c>
      <c r="K92" s="5">
        <f t="shared" si="49"/>
        <v>1</v>
      </c>
      <c r="L92" s="33"/>
      <c r="M92" s="1" t="s">
        <v>67</v>
      </c>
      <c r="N92" s="42"/>
      <c r="O92" s="42"/>
      <c r="P92" s="42"/>
      <c r="Q92" s="42"/>
      <c r="R92" s="42"/>
      <c r="S92" s="42"/>
      <c r="T92" s="42"/>
      <c r="U92" s="42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25" customHeight="1" thickBot="1" x14ac:dyDescent="0.4">
      <c r="A93" s="1"/>
      <c r="B93" s="27" t="s">
        <v>16</v>
      </c>
      <c r="C93" s="21">
        <f>C94+C95+C96+C97+C98</f>
        <v>22</v>
      </c>
      <c r="D93" s="21">
        <f>D94+D95+D96+D97+D98</f>
        <v>22</v>
      </c>
      <c r="E93" s="28">
        <f>D93/C93</f>
        <v>1</v>
      </c>
      <c r="F93" s="21">
        <f>F94+F95+F96+F97+F98</f>
        <v>52</v>
      </c>
      <c r="G93" s="21">
        <f>G94+G95+G96+G97+G98</f>
        <v>52</v>
      </c>
      <c r="H93" s="28">
        <f>G93/F93</f>
        <v>1</v>
      </c>
      <c r="I93" s="21">
        <f t="shared" ref="I93:J94" si="50">C93+F93</f>
        <v>74</v>
      </c>
      <c r="J93" s="21">
        <f t="shared" si="50"/>
        <v>74</v>
      </c>
      <c r="K93" s="22">
        <f>J93/I93</f>
        <v>1</v>
      </c>
      <c r="L93" s="33"/>
      <c r="M93" s="1"/>
      <c r="N93" s="1"/>
      <c r="O93" s="29"/>
      <c r="P93" s="29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25" customHeight="1" thickBot="1" x14ac:dyDescent="0.4">
      <c r="A94" s="1"/>
      <c r="B94" s="6" t="s">
        <v>17</v>
      </c>
      <c r="C94" s="24">
        <v>22</v>
      </c>
      <c r="D94" s="24">
        <v>22</v>
      </c>
      <c r="E94" s="5">
        <f>D94/C94</f>
        <v>1</v>
      </c>
      <c r="F94" s="24">
        <v>52</v>
      </c>
      <c r="G94" s="24">
        <v>52</v>
      </c>
      <c r="H94" s="5">
        <f>G94/F94</f>
        <v>1</v>
      </c>
      <c r="I94" s="24">
        <f t="shared" si="50"/>
        <v>74</v>
      </c>
      <c r="J94" s="24">
        <f t="shared" si="50"/>
        <v>74</v>
      </c>
      <c r="K94" s="5">
        <f>J94/I94</f>
        <v>1</v>
      </c>
      <c r="L94" s="33"/>
      <c r="M94" s="1"/>
      <c r="N94" s="42"/>
      <c r="O94" s="42"/>
      <c r="P94" s="42"/>
      <c r="Q94" s="42"/>
      <c r="R94" s="42"/>
      <c r="S94" s="42"/>
      <c r="T94" s="42"/>
      <c r="U94" s="42"/>
      <c r="V94" s="42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25" customHeight="1" thickBot="1" x14ac:dyDescent="0.4">
      <c r="A95" s="1"/>
      <c r="B95" s="6" t="s">
        <v>18</v>
      </c>
      <c r="C95" s="24"/>
      <c r="D95" s="24"/>
      <c r="E95" s="5"/>
      <c r="F95" s="24"/>
      <c r="G95" s="24"/>
      <c r="H95" s="5"/>
      <c r="I95" s="24"/>
      <c r="J95" s="24"/>
      <c r="K95" s="5"/>
      <c r="L95" s="3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25" customHeight="1" thickBot="1" x14ac:dyDescent="0.4">
      <c r="A96" s="1"/>
      <c r="B96" s="6" t="s">
        <v>19</v>
      </c>
      <c r="C96" s="24"/>
      <c r="D96" s="24"/>
      <c r="E96" s="5"/>
      <c r="F96" s="24"/>
      <c r="G96" s="24"/>
      <c r="H96" s="5"/>
      <c r="I96" s="24"/>
      <c r="J96" s="24"/>
      <c r="K96" s="5"/>
      <c r="L96" s="3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25" customHeight="1" thickBot="1" x14ac:dyDescent="0.4">
      <c r="A97" s="1"/>
      <c r="B97" s="6" t="s">
        <v>20</v>
      </c>
      <c r="C97" s="24"/>
      <c r="D97" s="24"/>
      <c r="E97" s="5"/>
      <c r="F97" s="24"/>
      <c r="G97" s="24"/>
      <c r="H97" s="5"/>
      <c r="I97" s="24"/>
      <c r="J97" s="24"/>
      <c r="K97" s="5"/>
      <c r="L97" s="33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25" customHeight="1" thickBot="1" x14ac:dyDescent="0.4">
      <c r="A98" s="1"/>
      <c r="B98" s="6" t="s">
        <v>21</v>
      </c>
      <c r="C98" s="24"/>
      <c r="D98" s="24"/>
      <c r="E98" s="5"/>
      <c r="F98" s="24"/>
      <c r="G98" s="24"/>
      <c r="H98" s="5"/>
      <c r="I98" s="24"/>
      <c r="J98" s="24"/>
      <c r="K98" s="5"/>
      <c r="L98" s="33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25" customHeight="1" thickBot="1" x14ac:dyDescent="0.4">
      <c r="A99" s="1"/>
      <c r="B99" s="4" t="s">
        <v>22</v>
      </c>
      <c r="C99" s="24"/>
      <c r="D99" s="24"/>
      <c r="E99" s="5"/>
      <c r="F99" s="24"/>
      <c r="G99" s="24"/>
      <c r="H99" s="5"/>
      <c r="I99" s="24"/>
      <c r="J99" s="24"/>
      <c r="K99" s="5"/>
      <c r="L99" s="3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25" customHeight="1" thickBot="1" x14ac:dyDescent="0.4">
      <c r="A100" s="1"/>
      <c r="B100" s="4" t="s">
        <v>23</v>
      </c>
      <c r="C100" s="24"/>
      <c r="D100" s="24"/>
      <c r="E100" s="5"/>
      <c r="F100" s="24">
        <v>3</v>
      </c>
      <c r="G100" s="24">
        <v>3</v>
      </c>
      <c r="H100" s="5">
        <f>G100/F100</f>
        <v>1</v>
      </c>
      <c r="I100" s="24">
        <f t="shared" ref="I100" si="51">C100+F100</f>
        <v>3</v>
      </c>
      <c r="J100" s="24">
        <f t="shared" ref="J100" si="52">D100+G100</f>
        <v>3</v>
      </c>
      <c r="K100" s="5">
        <f t="shared" ref="K100" si="53">J100/I100</f>
        <v>1</v>
      </c>
      <c r="L100" s="3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4.25" customHeight="1" thickBot="1" x14ac:dyDescent="0.4">
      <c r="A101" s="1"/>
      <c r="B101" s="4" t="s">
        <v>24</v>
      </c>
      <c r="C101" s="24"/>
      <c r="D101" s="24"/>
      <c r="E101" s="5"/>
      <c r="F101" s="24"/>
      <c r="G101" s="24"/>
      <c r="H101" s="5"/>
      <c r="I101" s="24"/>
      <c r="J101" s="24"/>
      <c r="K101" s="5"/>
      <c r="L101" s="33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4.25" customHeight="1" thickBot="1" x14ac:dyDescent="0.4">
      <c r="A102" s="1"/>
      <c r="B102" s="4" t="s">
        <v>63</v>
      </c>
      <c r="C102" s="24">
        <v>40</v>
      </c>
      <c r="D102" s="24">
        <v>40</v>
      </c>
      <c r="E102" s="5">
        <f>D102/C102</f>
        <v>1</v>
      </c>
      <c r="F102" s="24"/>
      <c r="G102" s="24"/>
      <c r="H102" s="5"/>
      <c r="I102" s="24">
        <f t="shared" ref="I102" si="54">C102+F102</f>
        <v>40</v>
      </c>
      <c r="J102" s="24">
        <f t="shared" ref="J102" si="55">D102+G102</f>
        <v>40</v>
      </c>
      <c r="K102" s="5">
        <f t="shared" ref="K102" si="56">J102/I102</f>
        <v>1</v>
      </c>
      <c r="L102" s="33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4.25" customHeight="1" thickBot="1" x14ac:dyDescent="0.4">
      <c r="A103" s="1"/>
      <c r="B103" s="25" t="s">
        <v>28</v>
      </c>
      <c r="C103" s="18">
        <f>C88+C92+C93+C98+C99+C100+C101+C102</f>
        <v>82</v>
      </c>
      <c r="D103" s="18">
        <f>D88+D92+D93+D98+D99+D100+D101+D102</f>
        <v>82</v>
      </c>
      <c r="E103" s="23">
        <f>D103/C103</f>
        <v>1</v>
      </c>
      <c r="F103" s="18">
        <f>F88+F92+F93+F98+F99+F100+F101+F102</f>
        <v>64</v>
      </c>
      <c r="G103" s="18">
        <f>G88+G92+G93+G98+G99+G100+G101+G102</f>
        <v>64</v>
      </c>
      <c r="H103" s="23">
        <f>G103/F103</f>
        <v>1</v>
      </c>
      <c r="I103" s="18">
        <f>I88+I92+I93+I99+I100+I101+I102</f>
        <v>146</v>
      </c>
      <c r="J103" s="18">
        <f>J88+J92+J93+J99+J100+J101+J102</f>
        <v>146</v>
      </c>
      <c r="K103" s="23">
        <f>J103/I103</f>
        <v>1</v>
      </c>
      <c r="L103" s="3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4.25" customHeight="1" thickBot="1" x14ac:dyDescent="0.4">
      <c r="A104" s="1"/>
      <c r="B104" s="2"/>
      <c r="C104" s="26"/>
      <c r="D104" s="26"/>
      <c r="E104" s="26"/>
      <c r="F104" s="26"/>
      <c r="G104" s="26"/>
      <c r="H104" s="1"/>
      <c r="I104" s="26"/>
      <c r="J104" s="26"/>
      <c r="K104" s="2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" customHeight="1" thickBot="1" x14ac:dyDescent="0.4">
      <c r="A105" s="1"/>
      <c r="B105" s="32" t="s">
        <v>1</v>
      </c>
      <c r="C105" s="35" t="s">
        <v>5</v>
      </c>
      <c r="D105" s="36"/>
      <c r="E105" s="36"/>
      <c r="F105" s="36"/>
      <c r="G105" s="36"/>
      <c r="H105" s="37"/>
      <c r="I105" s="35" t="s">
        <v>7</v>
      </c>
      <c r="J105" s="36"/>
      <c r="K105" s="37"/>
      <c r="L105" s="39" t="s">
        <v>55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" customHeight="1" thickBot="1" x14ac:dyDescent="0.4">
      <c r="A106" s="1"/>
      <c r="B106" s="33"/>
      <c r="C106" s="35" t="s">
        <v>59</v>
      </c>
      <c r="D106" s="36"/>
      <c r="E106" s="37"/>
      <c r="F106" s="35" t="s">
        <v>60</v>
      </c>
      <c r="G106" s="36"/>
      <c r="H106" s="37"/>
      <c r="I106" s="17"/>
      <c r="J106" s="17"/>
      <c r="K106" s="18"/>
      <c r="L106" s="3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4.25" customHeight="1" thickBot="1" x14ac:dyDescent="0.4">
      <c r="A107" s="1"/>
      <c r="B107" s="34"/>
      <c r="C107" s="19" t="s">
        <v>8</v>
      </c>
      <c r="D107" s="19" t="s">
        <v>9</v>
      </c>
      <c r="E107" s="19" t="s">
        <v>10</v>
      </c>
      <c r="F107" s="19" t="s">
        <v>8</v>
      </c>
      <c r="G107" s="19" t="s">
        <v>9</v>
      </c>
      <c r="H107" s="19" t="s">
        <v>10</v>
      </c>
      <c r="I107" s="19" t="s">
        <v>8</v>
      </c>
      <c r="J107" s="19" t="s">
        <v>9</v>
      </c>
      <c r="K107" s="19" t="s">
        <v>10</v>
      </c>
      <c r="L107" s="33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4.25" customHeight="1" thickBot="1" x14ac:dyDescent="0.4">
      <c r="A108" s="1"/>
      <c r="B108" s="27" t="s">
        <v>54</v>
      </c>
      <c r="C108" s="21">
        <f>C109+C110+C111</f>
        <v>0</v>
      </c>
      <c r="D108" s="21">
        <f>D109+D110+D111</f>
        <v>0</v>
      </c>
      <c r="E108" s="22" t="e">
        <f>D108/C108</f>
        <v>#DIV/0!</v>
      </c>
      <c r="F108" s="21">
        <f>F109+F110+F111</f>
        <v>10</v>
      </c>
      <c r="G108" s="21">
        <f>G109+G110+G111</f>
        <v>10</v>
      </c>
      <c r="H108" s="22">
        <f>G108/F108</f>
        <v>1</v>
      </c>
      <c r="I108" s="21">
        <f>C108+F108</f>
        <v>10</v>
      </c>
      <c r="J108" s="21">
        <f>D108+G108</f>
        <v>10</v>
      </c>
      <c r="K108" s="22">
        <f>J108/I108</f>
        <v>1</v>
      </c>
      <c r="L108" s="33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4.25" customHeight="1" thickBot="1" x14ac:dyDescent="0.4">
      <c r="A109" s="1"/>
      <c r="B109" s="6" t="s">
        <v>12</v>
      </c>
      <c r="C109" s="24"/>
      <c r="D109" s="24"/>
      <c r="E109" s="5" t="e">
        <f>D109/C109</f>
        <v>#DIV/0!</v>
      </c>
      <c r="F109" s="24">
        <v>10</v>
      </c>
      <c r="G109" s="24">
        <v>10</v>
      </c>
      <c r="H109" s="5">
        <f>G109/F109</f>
        <v>1</v>
      </c>
      <c r="I109" s="24">
        <f>C109+F109</f>
        <v>10</v>
      </c>
      <c r="J109" s="24">
        <f>D109+G109</f>
        <v>10</v>
      </c>
      <c r="K109" s="5"/>
      <c r="L109" s="33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4.25" customHeight="1" thickBot="1" x14ac:dyDescent="0.4">
      <c r="A110" s="1"/>
      <c r="B110" s="6" t="s">
        <v>13</v>
      </c>
      <c r="C110" s="24"/>
      <c r="D110" s="24"/>
      <c r="E110" s="5"/>
      <c r="F110" s="24"/>
      <c r="G110" s="24"/>
      <c r="H110" s="5"/>
      <c r="I110" s="24"/>
      <c r="J110" s="24"/>
      <c r="K110" s="5"/>
      <c r="L110" s="3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4.25" customHeight="1" thickBot="1" x14ac:dyDescent="0.4">
      <c r="A111" s="1"/>
      <c r="B111" s="6" t="s">
        <v>14</v>
      </c>
      <c r="C111" s="24"/>
      <c r="D111" s="24"/>
      <c r="E111" s="5"/>
      <c r="F111" s="24"/>
      <c r="G111" s="24"/>
      <c r="H111" s="5"/>
      <c r="I111" s="24"/>
      <c r="J111" s="24"/>
      <c r="K111" s="5"/>
      <c r="L111" s="3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4.25" customHeight="1" thickBot="1" x14ac:dyDescent="0.4">
      <c r="A112" s="1"/>
      <c r="B112" s="4" t="s">
        <v>15</v>
      </c>
      <c r="C112" s="24"/>
      <c r="D112" s="24"/>
      <c r="E112" s="5"/>
      <c r="F112" s="24"/>
      <c r="G112" s="24"/>
      <c r="H112" s="5"/>
      <c r="I112" s="24"/>
      <c r="J112" s="24"/>
      <c r="K112" s="5"/>
      <c r="L112" s="3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4.25" customHeight="1" thickBot="1" x14ac:dyDescent="0.4">
      <c r="A113" s="1"/>
      <c r="B113" s="27" t="s">
        <v>16</v>
      </c>
      <c r="C113" s="21">
        <f>C114+C115+C116+C117+C118</f>
        <v>9</v>
      </c>
      <c r="D113" s="21">
        <f>D114+D115+D116+D117+D118</f>
        <v>7</v>
      </c>
      <c r="E113" s="22">
        <f>D113/C113</f>
        <v>0.77777777777777779</v>
      </c>
      <c r="F113" s="21">
        <f>F114+F115+F116+F117+F118</f>
        <v>25</v>
      </c>
      <c r="G113" s="21">
        <f>G114+G115+G116+G117+G118</f>
        <v>25</v>
      </c>
      <c r="H113" s="22">
        <f>G113/F113</f>
        <v>1</v>
      </c>
      <c r="I113" s="21">
        <f>C113+F113</f>
        <v>34</v>
      </c>
      <c r="J113" s="21">
        <f>D113+G113</f>
        <v>32</v>
      </c>
      <c r="K113" s="22">
        <f>J113/I113</f>
        <v>0.94117647058823528</v>
      </c>
      <c r="L113" s="3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4.25" customHeight="1" thickBot="1" x14ac:dyDescent="0.4">
      <c r="A114" s="1"/>
      <c r="B114" s="6" t="s">
        <v>17</v>
      </c>
      <c r="C114" s="24">
        <v>9</v>
      </c>
      <c r="D114" s="24">
        <v>7</v>
      </c>
      <c r="E114" s="5">
        <f>D114/C114</f>
        <v>0.77777777777777779</v>
      </c>
      <c r="F114" s="24">
        <v>25</v>
      </c>
      <c r="G114" s="24">
        <v>25</v>
      </c>
      <c r="H114" s="5">
        <f>G114/F114</f>
        <v>1</v>
      </c>
      <c r="I114" s="24">
        <f>C114+F114</f>
        <v>34</v>
      </c>
      <c r="J114" s="24">
        <f>D114+G114</f>
        <v>32</v>
      </c>
      <c r="K114" s="5">
        <f>J114/I114</f>
        <v>0.94117647058823528</v>
      </c>
      <c r="L114" s="3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4.25" customHeight="1" thickBot="1" x14ac:dyDescent="0.4">
      <c r="A115" s="1"/>
      <c r="B115" s="6" t="s">
        <v>18</v>
      </c>
      <c r="C115" s="24"/>
      <c r="D115" s="24"/>
      <c r="E115" s="5"/>
      <c r="F115" s="24"/>
      <c r="G115" s="24"/>
      <c r="H115" s="5"/>
      <c r="I115" s="24"/>
      <c r="J115" s="24"/>
      <c r="K115" s="5"/>
      <c r="L115" s="33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4.25" customHeight="1" thickBot="1" x14ac:dyDescent="0.4">
      <c r="A116" s="1"/>
      <c r="B116" s="6" t="s">
        <v>19</v>
      </c>
      <c r="C116" s="24"/>
      <c r="D116" s="24"/>
      <c r="E116" s="5"/>
      <c r="F116" s="24"/>
      <c r="G116" s="24"/>
      <c r="H116" s="5"/>
      <c r="I116" s="24"/>
      <c r="J116" s="24"/>
      <c r="K116" s="5"/>
      <c r="L116" s="33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4.25" customHeight="1" thickBot="1" x14ac:dyDescent="0.4">
      <c r="A117" s="1"/>
      <c r="B117" s="6" t="s">
        <v>20</v>
      </c>
      <c r="C117" s="24"/>
      <c r="D117" s="24"/>
      <c r="E117" s="5"/>
      <c r="F117" s="24"/>
      <c r="G117" s="24"/>
      <c r="H117" s="5"/>
      <c r="I117" s="24"/>
      <c r="J117" s="24"/>
      <c r="K117" s="5"/>
      <c r="L117" s="3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4.25" customHeight="1" thickBot="1" x14ac:dyDescent="0.4">
      <c r="A118" s="1"/>
      <c r="B118" s="6" t="s">
        <v>21</v>
      </c>
      <c r="C118" s="24"/>
      <c r="D118" s="24"/>
      <c r="E118" s="5"/>
      <c r="F118" s="24"/>
      <c r="G118" s="24"/>
      <c r="H118" s="5"/>
      <c r="I118" s="24"/>
      <c r="J118" s="24"/>
      <c r="K118" s="5"/>
      <c r="L118" s="33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4.25" customHeight="1" thickBot="1" x14ac:dyDescent="0.4">
      <c r="A119" s="1"/>
      <c r="B119" s="4" t="s">
        <v>22</v>
      </c>
      <c r="C119" s="24"/>
      <c r="D119" s="24"/>
      <c r="E119" s="5"/>
      <c r="F119" s="24"/>
      <c r="G119" s="24"/>
      <c r="H119" s="5"/>
      <c r="I119" s="24"/>
      <c r="J119" s="24"/>
      <c r="K119" s="5"/>
      <c r="L119" s="33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4.25" customHeight="1" thickBot="1" x14ac:dyDescent="0.4">
      <c r="A120" s="1"/>
      <c r="B120" s="4" t="s">
        <v>23</v>
      </c>
      <c r="C120" s="24"/>
      <c r="D120" s="24"/>
      <c r="E120" s="5"/>
      <c r="F120" s="24">
        <v>10</v>
      </c>
      <c r="G120" s="24">
        <v>10</v>
      </c>
      <c r="H120" s="5"/>
      <c r="I120" s="24">
        <f>C120+F120</f>
        <v>10</v>
      </c>
      <c r="J120" s="24">
        <f>D120+G120</f>
        <v>10</v>
      </c>
      <c r="K120" s="5">
        <f>J120/I120</f>
        <v>1</v>
      </c>
      <c r="L120" s="3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4.25" customHeight="1" thickBot="1" x14ac:dyDescent="0.4">
      <c r="A121" s="1"/>
      <c r="B121" s="4" t="s">
        <v>24</v>
      </c>
      <c r="C121" s="24"/>
      <c r="D121" s="24"/>
      <c r="E121" s="5"/>
      <c r="F121" s="24"/>
      <c r="G121" s="24"/>
      <c r="H121" s="5"/>
      <c r="I121" s="24"/>
      <c r="J121" s="24"/>
      <c r="K121" s="5"/>
      <c r="L121" s="3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.5" customHeight="1" thickBot="1" x14ac:dyDescent="0.4">
      <c r="A122" s="1"/>
      <c r="B122" s="4" t="s">
        <v>25</v>
      </c>
      <c r="C122" s="24"/>
      <c r="D122" s="24"/>
      <c r="E122" s="5"/>
      <c r="F122" s="24"/>
      <c r="G122" s="24"/>
      <c r="H122" s="5"/>
      <c r="I122" s="24"/>
      <c r="J122" s="24"/>
      <c r="K122" s="5"/>
      <c r="L122" s="3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3.5" customHeight="1" thickBot="1" x14ac:dyDescent="0.4">
      <c r="A123" s="1"/>
      <c r="B123" s="4" t="s">
        <v>64</v>
      </c>
      <c r="C123" s="24"/>
      <c r="D123" s="24"/>
      <c r="E123" s="5"/>
      <c r="F123" s="24"/>
      <c r="G123" s="24"/>
      <c r="H123" s="5"/>
      <c r="I123" s="24"/>
      <c r="J123" s="24"/>
      <c r="K123" s="5"/>
      <c r="L123" s="3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4.25" customHeight="1" thickBot="1" x14ac:dyDescent="0.4">
      <c r="A124" s="1"/>
      <c r="B124" s="25" t="s">
        <v>28</v>
      </c>
      <c r="C124" s="18">
        <f>C108+C112+C113+C118+C119+C120+C121+C122+C123</f>
        <v>9</v>
      </c>
      <c r="D124" s="18">
        <f>D108+D112+D113+D118+D119+D120+D121+D122+D123</f>
        <v>7</v>
      </c>
      <c r="E124" s="23">
        <f>D124/C124</f>
        <v>0.77777777777777779</v>
      </c>
      <c r="F124" s="18">
        <f>F108+F112+F113+F118+F119+F120+F121+F122+F123</f>
        <v>45</v>
      </c>
      <c r="G124" s="18">
        <f>G108+G112+G113+G118+G119+G120+G121+G122+G123</f>
        <v>45</v>
      </c>
      <c r="H124" s="23">
        <f>G124/F124</f>
        <v>1</v>
      </c>
      <c r="I124" s="18">
        <f>I108+I112+I113+I118+I119+I120+I121+I122+I123</f>
        <v>54</v>
      </c>
      <c r="J124" s="18">
        <f>J108+J112+J113+J118+J119+J120+J121+J122+J123</f>
        <v>52</v>
      </c>
      <c r="K124" s="23">
        <f>J124/I124</f>
        <v>0.96296296296296291</v>
      </c>
      <c r="L124" s="3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4.25" customHeight="1" thickBot="1" x14ac:dyDescent="0.4">
      <c r="A125" s="1"/>
      <c r="B125" s="2"/>
      <c r="C125" s="31" t="s">
        <v>72</v>
      </c>
      <c r="D125" s="31"/>
      <c r="E125" s="26"/>
      <c r="F125" s="26"/>
      <c r="G125" s="26"/>
      <c r="H125" s="1"/>
      <c r="I125" s="26"/>
      <c r="J125" s="26"/>
      <c r="K125" s="2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" customHeight="1" thickBot="1" x14ac:dyDescent="0.4">
      <c r="A126" s="1"/>
      <c r="B126" s="32" t="s">
        <v>1</v>
      </c>
      <c r="C126" s="35" t="s">
        <v>6</v>
      </c>
      <c r="D126" s="36"/>
      <c r="E126" s="36"/>
      <c r="F126" s="36"/>
      <c r="G126" s="36"/>
      <c r="H126" s="37"/>
      <c r="I126" s="35" t="s">
        <v>7</v>
      </c>
      <c r="J126" s="36"/>
      <c r="K126" s="37"/>
      <c r="L126" s="38" t="s">
        <v>55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" customHeight="1" thickBot="1" x14ac:dyDescent="0.4">
      <c r="A127" s="1"/>
      <c r="B127" s="33"/>
      <c r="C127" s="35" t="s">
        <v>61</v>
      </c>
      <c r="D127" s="36"/>
      <c r="E127" s="37"/>
      <c r="F127" s="35" t="s">
        <v>62</v>
      </c>
      <c r="G127" s="36"/>
      <c r="H127" s="37"/>
      <c r="I127" s="17"/>
      <c r="J127" s="17"/>
      <c r="K127" s="18"/>
      <c r="L127" s="3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4.25" customHeight="1" thickBot="1" x14ac:dyDescent="0.4">
      <c r="A128" s="1"/>
      <c r="B128" s="34"/>
      <c r="C128" s="19" t="s">
        <v>8</v>
      </c>
      <c r="D128" s="19" t="s">
        <v>9</v>
      </c>
      <c r="E128" s="19" t="s">
        <v>10</v>
      </c>
      <c r="F128" s="19" t="s">
        <v>8</v>
      </c>
      <c r="G128" s="19" t="s">
        <v>9</v>
      </c>
      <c r="H128" s="19" t="s">
        <v>10</v>
      </c>
      <c r="I128" s="19" t="s">
        <v>8</v>
      </c>
      <c r="J128" s="19" t="s">
        <v>9</v>
      </c>
      <c r="K128" s="19" t="s">
        <v>10</v>
      </c>
      <c r="L128" s="33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4.25" customHeight="1" thickBot="1" x14ac:dyDescent="0.4">
      <c r="A129" s="1"/>
      <c r="B129" s="27" t="s">
        <v>46</v>
      </c>
      <c r="C129" s="21">
        <f>C130+C131+C132</f>
        <v>5</v>
      </c>
      <c r="D129" s="21">
        <f>D130+D131+D132</f>
        <v>5</v>
      </c>
      <c r="E129" s="22">
        <f>D129/C129</f>
        <v>1</v>
      </c>
      <c r="F129" s="21">
        <f>F130+F131+F132</f>
        <v>17</v>
      </c>
      <c r="G129" s="21">
        <f>G130+G131+G132</f>
        <v>14</v>
      </c>
      <c r="H129" s="22">
        <f>G129/F129</f>
        <v>0.82352941176470584</v>
      </c>
      <c r="I129" s="21">
        <f>C129+F129</f>
        <v>22</v>
      </c>
      <c r="J129" s="21">
        <f>D129+G129</f>
        <v>19</v>
      </c>
      <c r="K129" s="22">
        <f>J129/I129</f>
        <v>0.86363636363636365</v>
      </c>
      <c r="L129" s="3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4.25" customHeight="1" thickBot="1" x14ac:dyDescent="0.4">
      <c r="A130" s="1"/>
      <c r="B130" s="6" t="s">
        <v>12</v>
      </c>
      <c r="C130" s="24"/>
      <c r="D130" s="24"/>
      <c r="E130" s="23" t="e">
        <f>D130/C130</f>
        <v>#DIV/0!</v>
      </c>
      <c r="F130" s="24">
        <v>17</v>
      </c>
      <c r="G130" s="24">
        <v>14</v>
      </c>
      <c r="H130" s="23">
        <f>G130/F130</f>
        <v>0.82352941176470584</v>
      </c>
      <c r="I130" s="24">
        <f>C130+F130</f>
        <v>17</v>
      </c>
      <c r="J130" s="24">
        <f>D130+G130</f>
        <v>14</v>
      </c>
      <c r="K130" s="5">
        <f>J130/I130</f>
        <v>0.82352941176470584</v>
      </c>
      <c r="L130" s="33"/>
      <c r="M130" s="53" t="s">
        <v>73</v>
      </c>
      <c r="N130" s="4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4.25" customHeight="1" thickBot="1" x14ac:dyDescent="0.4">
      <c r="A131" s="1"/>
      <c r="B131" s="6" t="s">
        <v>13</v>
      </c>
      <c r="C131" s="24">
        <v>5</v>
      </c>
      <c r="D131" s="24">
        <v>5</v>
      </c>
      <c r="E131" s="5"/>
      <c r="F131" s="24"/>
      <c r="G131" s="24"/>
      <c r="H131" s="23"/>
      <c r="I131" s="24">
        <f t="shared" ref="I131:I132" si="57">C131+F131</f>
        <v>5</v>
      </c>
      <c r="J131" s="24">
        <f t="shared" ref="J131:J132" si="58">D131+G131</f>
        <v>5</v>
      </c>
      <c r="K131" s="5">
        <f>J131/I131</f>
        <v>1</v>
      </c>
      <c r="L131" s="3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4.25" customHeight="1" thickBot="1" x14ac:dyDescent="0.4">
      <c r="A132" s="1"/>
      <c r="B132" s="6" t="s">
        <v>14</v>
      </c>
      <c r="C132" s="24"/>
      <c r="D132" s="24"/>
      <c r="E132" s="5"/>
      <c r="F132" s="24"/>
      <c r="G132" s="24"/>
      <c r="H132" s="23"/>
      <c r="I132" s="24">
        <f t="shared" si="57"/>
        <v>0</v>
      </c>
      <c r="J132" s="24">
        <f t="shared" si="58"/>
        <v>0</v>
      </c>
      <c r="K132" s="5" t="e">
        <f t="shared" ref="K132" si="59">J132/I132</f>
        <v>#DIV/0!</v>
      </c>
      <c r="L132" s="3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4.25" customHeight="1" thickBot="1" x14ac:dyDescent="0.4">
      <c r="A133" s="1"/>
      <c r="B133" s="4" t="s">
        <v>15</v>
      </c>
      <c r="C133" s="24"/>
      <c r="D133" s="24"/>
      <c r="E133" s="5"/>
      <c r="F133" s="24"/>
      <c r="G133" s="24"/>
      <c r="H133" s="5"/>
      <c r="I133" s="24"/>
      <c r="J133" s="24"/>
      <c r="K133" s="5"/>
      <c r="L133" s="3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4.25" customHeight="1" thickBot="1" x14ac:dyDescent="0.4">
      <c r="A134" s="1"/>
      <c r="B134" s="27" t="s">
        <v>16</v>
      </c>
      <c r="C134" s="21">
        <f>C135+C136+C137+C138+C139</f>
        <v>40</v>
      </c>
      <c r="D134" s="21">
        <f>D135+D136+D137+D138+D139</f>
        <v>40</v>
      </c>
      <c r="E134" s="22">
        <f>D134/C134</f>
        <v>1</v>
      </c>
      <c r="F134" s="21">
        <f>F135+F136+F137+F138+F139</f>
        <v>8</v>
      </c>
      <c r="G134" s="21">
        <f>G135+G136+G137+G138+G139</f>
        <v>8</v>
      </c>
      <c r="H134" s="22">
        <f>G134/F134</f>
        <v>1</v>
      </c>
      <c r="I134" s="21">
        <f t="shared" ref="I134:J135" si="60">C134+F134</f>
        <v>48</v>
      </c>
      <c r="J134" s="21">
        <f t="shared" si="60"/>
        <v>48</v>
      </c>
      <c r="K134" s="22">
        <f>J134/I134</f>
        <v>1</v>
      </c>
      <c r="L134" s="3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4.25" customHeight="1" thickBot="1" x14ac:dyDescent="0.4">
      <c r="A135" s="1"/>
      <c r="B135" s="6" t="s">
        <v>17</v>
      </c>
      <c r="C135" s="24">
        <v>40</v>
      </c>
      <c r="D135" s="24">
        <v>40</v>
      </c>
      <c r="E135" s="23">
        <f>D135/C135</f>
        <v>1</v>
      </c>
      <c r="F135" s="24">
        <v>8</v>
      </c>
      <c r="G135" s="24">
        <v>8</v>
      </c>
      <c r="H135" s="23">
        <f>G135/F135</f>
        <v>1</v>
      </c>
      <c r="I135" s="24">
        <f t="shared" si="60"/>
        <v>48</v>
      </c>
      <c r="J135" s="24">
        <f t="shared" si="60"/>
        <v>48</v>
      </c>
      <c r="K135" s="5">
        <f>J135/I135</f>
        <v>1</v>
      </c>
      <c r="L135" s="33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4.25" customHeight="1" thickBot="1" x14ac:dyDescent="0.4">
      <c r="A136" s="1"/>
      <c r="B136" s="6" t="s">
        <v>18</v>
      </c>
      <c r="C136" s="24"/>
      <c r="D136" s="24"/>
      <c r="E136" s="5"/>
      <c r="F136" s="24"/>
      <c r="G136" s="24"/>
      <c r="H136" s="5"/>
      <c r="I136" s="24"/>
      <c r="J136" s="24"/>
      <c r="K136" s="5"/>
      <c r="L136" s="3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4.25" customHeight="1" thickBot="1" x14ac:dyDescent="0.4">
      <c r="A137" s="1"/>
      <c r="B137" s="6" t="s">
        <v>19</v>
      </c>
      <c r="C137" s="24"/>
      <c r="D137" s="24"/>
      <c r="E137" s="5"/>
      <c r="F137" s="24"/>
      <c r="G137" s="24"/>
      <c r="H137" s="5"/>
      <c r="I137" s="24"/>
      <c r="J137" s="24"/>
      <c r="K137" s="5"/>
      <c r="L137" s="33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4.25" customHeight="1" thickBot="1" x14ac:dyDescent="0.4">
      <c r="A138" s="1"/>
      <c r="B138" s="6" t="s">
        <v>20</v>
      </c>
      <c r="C138" s="24"/>
      <c r="D138" s="24"/>
      <c r="E138" s="5"/>
      <c r="F138" s="24"/>
      <c r="G138" s="24"/>
      <c r="H138" s="5"/>
      <c r="I138" s="24"/>
      <c r="J138" s="24"/>
      <c r="K138" s="5"/>
      <c r="L138" s="33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4.25" customHeight="1" thickBot="1" x14ac:dyDescent="0.4">
      <c r="A139" s="1"/>
      <c r="B139" s="6" t="s">
        <v>21</v>
      </c>
      <c r="C139" s="24"/>
      <c r="D139" s="24"/>
      <c r="E139" s="5"/>
      <c r="F139" s="24"/>
      <c r="G139" s="24"/>
      <c r="H139" s="5"/>
      <c r="I139" s="24"/>
      <c r="J139" s="24"/>
      <c r="K139" s="5"/>
      <c r="L139" s="33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4.25" customHeight="1" thickBot="1" x14ac:dyDescent="0.4">
      <c r="A140" s="1"/>
      <c r="B140" s="4" t="s">
        <v>22</v>
      </c>
      <c r="C140" s="24"/>
      <c r="D140" s="24"/>
      <c r="E140" s="5"/>
      <c r="F140" s="24"/>
      <c r="G140" s="24"/>
      <c r="H140" s="5"/>
      <c r="I140" s="24"/>
      <c r="J140" s="24"/>
      <c r="K140" s="5"/>
      <c r="L140" s="3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4.25" customHeight="1" thickBot="1" x14ac:dyDescent="0.4">
      <c r="A141" s="1"/>
      <c r="B141" s="4" t="s">
        <v>23</v>
      </c>
      <c r="C141" s="24"/>
      <c r="D141" s="24"/>
      <c r="E141" s="5"/>
      <c r="F141" s="24">
        <v>14</v>
      </c>
      <c r="G141" s="24">
        <v>14</v>
      </c>
      <c r="H141" s="23">
        <f>G141/F141</f>
        <v>1</v>
      </c>
      <c r="I141" s="24">
        <f>C141+F141</f>
        <v>14</v>
      </c>
      <c r="J141" s="24">
        <f>D141+G141</f>
        <v>14</v>
      </c>
      <c r="K141" s="5">
        <f>J141/I141</f>
        <v>1</v>
      </c>
      <c r="L141" s="3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4.25" customHeight="1" thickBot="1" x14ac:dyDescent="0.4">
      <c r="A142" s="1"/>
      <c r="B142" s="4" t="s">
        <v>24</v>
      </c>
      <c r="C142" s="24"/>
      <c r="D142" s="24"/>
      <c r="E142" s="5"/>
      <c r="F142" s="24"/>
      <c r="G142" s="24"/>
      <c r="H142" s="5"/>
      <c r="I142" s="24"/>
      <c r="J142" s="24"/>
      <c r="K142" s="5"/>
      <c r="L142" s="3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4.25" customHeight="1" thickBot="1" x14ac:dyDescent="0.4">
      <c r="A143" s="1"/>
      <c r="B143" s="4" t="s">
        <v>25</v>
      </c>
      <c r="C143" s="24"/>
      <c r="D143" s="24"/>
      <c r="E143" s="5"/>
      <c r="F143" s="24"/>
      <c r="G143" s="24"/>
      <c r="H143" s="5"/>
      <c r="I143" s="24"/>
      <c r="J143" s="24"/>
      <c r="K143" s="5"/>
      <c r="L143" s="3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4.25" customHeight="1" thickBot="1" x14ac:dyDescent="0.4">
      <c r="A144" s="1"/>
      <c r="B144" s="4" t="s">
        <v>26</v>
      </c>
      <c r="C144" s="24"/>
      <c r="D144" s="24"/>
      <c r="E144" s="5"/>
      <c r="F144" s="24"/>
      <c r="G144" s="24"/>
      <c r="H144" s="23"/>
      <c r="I144" s="24"/>
      <c r="J144" s="24"/>
      <c r="K144" s="5"/>
      <c r="L144" s="3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4.25" customHeight="1" thickBot="1" x14ac:dyDescent="0.4">
      <c r="A145" s="1"/>
      <c r="B145" s="25" t="s">
        <v>28</v>
      </c>
      <c r="C145" s="18">
        <f>C129+C133+C134+C139+C140+C141+C142+C143</f>
        <v>45</v>
      </c>
      <c r="D145" s="18">
        <f>D129+D133+D134+D139+D140+D141+D142+D143</f>
        <v>45</v>
      </c>
      <c r="E145" s="23">
        <f>D145/C145</f>
        <v>1</v>
      </c>
      <c r="F145" s="18">
        <f>F129+F133+F134+F139+F140+F141+F142+F143+F144</f>
        <v>39</v>
      </c>
      <c r="G145" s="18">
        <f>G129+G133+G134+G139+G140+G141+G142+G143+G144</f>
        <v>36</v>
      </c>
      <c r="H145" s="23">
        <f>G145/F145</f>
        <v>0.92307692307692313</v>
      </c>
      <c r="I145" s="18">
        <f>I129+I133+I134+I140+I141+I142+I143+I144</f>
        <v>84</v>
      </c>
      <c r="J145" s="18">
        <f>J129+J133+J134+J140+J141+J142+J143+J144</f>
        <v>81</v>
      </c>
      <c r="K145" s="23">
        <f>J145/I145</f>
        <v>0.9642857142857143</v>
      </c>
      <c r="L145" s="3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4.25" customHeight="1" x14ac:dyDescent="0.35">
      <c r="A146" s="1"/>
      <c r="B146" s="2"/>
      <c r="C146" s="26"/>
      <c r="D146" s="26"/>
      <c r="E146" s="26"/>
      <c r="F146" s="26"/>
      <c r="G146" s="26"/>
      <c r="H146" s="1"/>
      <c r="I146" s="26"/>
      <c r="J146" s="26"/>
      <c r="K146" s="2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4.25" customHeight="1" x14ac:dyDescent="0.35">
      <c r="A147" s="1"/>
      <c r="B147" s="2"/>
      <c r="C147" s="1" t="s">
        <v>78</v>
      </c>
      <c r="D147" t="s">
        <v>80</v>
      </c>
      <c r="E147" s="26" t="s">
        <v>76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4.25" customHeight="1" x14ac:dyDescent="0.35">
      <c r="A148" s="1"/>
      <c r="B148" s="2"/>
      <c r="C148" s="1" t="s">
        <v>79</v>
      </c>
      <c r="D148">
        <v>11</v>
      </c>
      <c r="E148" s="1">
        <v>15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4.25" customHeight="1" x14ac:dyDescent="0.35">
      <c r="A149" s="1"/>
      <c r="B149" s="2"/>
      <c r="C149" s="1" t="s">
        <v>74</v>
      </c>
      <c r="D149">
        <v>19</v>
      </c>
      <c r="E149" s="1">
        <v>11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4.25" customHeight="1" x14ac:dyDescent="0.35">
      <c r="A150" s="1"/>
      <c r="B150" s="2"/>
      <c r="C150" s="1" t="s">
        <v>75</v>
      </c>
      <c r="D150">
        <v>16</v>
      </c>
      <c r="E150" s="1">
        <v>5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4.25" customHeight="1" x14ac:dyDescent="0.35">
      <c r="A151" s="1"/>
      <c r="B151" s="2"/>
      <c r="C151" s="1" t="s">
        <v>77</v>
      </c>
      <c r="D151">
        <v>11</v>
      </c>
      <c r="E151" s="1">
        <v>10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4.25" customHeight="1" x14ac:dyDescent="0.35">
      <c r="A152" s="1"/>
      <c r="B152" s="2"/>
      <c r="C152" s="1" t="s">
        <v>81</v>
      </c>
      <c r="D152" s="1">
        <v>19</v>
      </c>
      <c r="E152" s="1">
        <v>16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4.25" customHeight="1" x14ac:dyDescent="0.35">
      <c r="A153" s="1"/>
      <c r="B153" s="2" t="s">
        <v>83</v>
      </c>
      <c r="C153" s="1" t="s">
        <v>82</v>
      </c>
      <c r="D153" s="1">
        <v>6</v>
      </c>
      <c r="E153" s="1">
        <v>10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4.25" customHeight="1" x14ac:dyDescent="0.35">
      <c r="A154" s="1"/>
      <c r="B154" s="2" t="s">
        <v>84</v>
      </c>
      <c r="C154" s="1" t="s">
        <v>82</v>
      </c>
      <c r="D154" s="1">
        <v>6</v>
      </c>
      <c r="E154" s="1">
        <v>5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4.25" customHeight="1" x14ac:dyDescent="0.3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4.25" customHeight="1" x14ac:dyDescent="0.3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4.25" customHeight="1" x14ac:dyDescent="0.3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4.25" customHeight="1" x14ac:dyDescent="0.3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4.25" customHeight="1" x14ac:dyDescent="0.3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4.25" customHeight="1" x14ac:dyDescent="0.3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4.25" customHeight="1" x14ac:dyDescent="0.3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4.25" customHeight="1" x14ac:dyDescent="0.3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4.25" customHeight="1" x14ac:dyDescent="0.3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4.25" customHeight="1" x14ac:dyDescent="0.3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4.25" customHeight="1" x14ac:dyDescent="0.3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4.25" customHeight="1" x14ac:dyDescent="0.3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4.25" customHeight="1" x14ac:dyDescent="0.3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4.25" customHeight="1" x14ac:dyDescent="0.3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4.25" customHeight="1" x14ac:dyDescent="0.3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4.25" customHeight="1" x14ac:dyDescent="0.3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4.25" customHeight="1" x14ac:dyDescent="0.3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4.25" customHeight="1" x14ac:dyDescent="0.3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4.25" customHeight="1" x14ac:dyDescent="0.3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4.25" customHeight="1" x14ac:dyDescent="0.3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4.25" customHeight="1" x14ac:dyDescent="0.3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4.25" customHeight="1" x14ac:dyDescent="0.3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4.25" customHeight="1" x14ac:dyDescent="0.3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4.25" customHeight="1" x14ac:dyDescent="0.3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4.25" customHeight="1" x14ac:dyDescent="0.3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4.25" customHeight="1" x14ac:dyDescent="0.3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4.25" customHeight="1" x14ac:dyDescent="0.3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4.25" customHeight="1" x14ac:dyDescent="0.3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4.25" customHeight="1" x14ac:dyDescent="0.3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4.25" customHeight="1" x14ac:dyDescent="0.3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4.25" customHeight="1" x14ac:dyDescent="0.3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4.25" customHeight="1" x14ac:dyDescent="0.3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4.25" customHeight="1" x14ac:dyDescent="0.3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4.25" customHeight="1" x14ac:dyDescent="0.3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4.25" customHeight="1" x14ac:dyDescent="0.3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4.25" customHeight="1" x14ac:dyDescent="0.3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4.25" customHeight="1" x14ac:dyDescent="0.3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4.25" customHeight="1" x14ac:dyDescent="0.3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4.25" customHeight="1" x14ac:dyDescent="0.3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4.25" customHeight="1" x14ac:dyDescent="0.3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4.25" customHeight="1" x14ac:dyDescent="0.3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4.25" customHeight="1" x14ac:dyDescent="0.3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4.25" customHeight="1" x14ac:dyDescent="0.3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4.25" customHeight="1" x14ac:dyDescent="0.3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4.25" customHeight="1" x14ac:dyDescent="0.3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4.25" customHeight="1" x14ac:dyDescent="0.3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4.25" customHeight="1" x14ac:dyDescent="0.3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4.25" customHeight="1" x14ac:dyDescent="0.3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4.25" customHeight="1" x14ac:dyDescent="0.3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4.25" customHeight="1" x14ac:dyDescent="0.3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4.25" customHeight="1" x14ac:dyDescent="0.3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4.25" customHeight="1" x14ac:dyDescent="0.3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4.25" customHeight="1" x14ac:dyDescent="0.3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4.25" customHeight="1" x14ac:dyDescent="0.3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4.25" customHeight="1" x14ac:dyDescent="0.3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4.25" customHeight="1" x14ac:dyDescent="0.3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4.25" customHeight="1" x14ac:dyDescent="0.3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4.25" customHeight="1" x14ac:dyDescent="0.3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4.25" customHeight="1" x14ac:dyDescent="0.3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4.25" customHeight="1" x14ac:dyDescent="0.3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4.25" customHeight="1" x14ac:dyDescent="0.3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4.25" customHeight="1" x14ac:dyDescent="0.3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4.25" customHeight="1" x14ac:dyDescent="0.3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4.25" customHeight="1" x14ac:dyDescent="0.3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4.25" customHeight="1" x14ac:dyDescent="0.3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4.25" customHeight="1" x14ac:dyDescent="0.3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4.25" customHeight="1" x14ac:dyDescent="0.3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4.25" customHeight="1" x14ac:dyDescent="0.3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4.25" customHeight="1" x14ac:dyDescent="0.3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4.25" customHeight="1" x14ac:dyDescent="0.3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4.25" customHeight="1" x14ac:dyDescent="0.3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4.25" customHeight="1" x14ac:dyDescent="0.3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4.25" customHeight="1" x14ac:dyDescent="0.3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4.25" customHeight="1" x14ac:dyDescent="0.3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4.25" customHeight="1" x14ac:dyDescent="0.3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4.25" customHeight="1" x14ac:dyDescent="0.3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4.25" customHeight="1" x14ac:dyDescent="0.3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4.25" customHeight="1" x14ac:dyDescent="0.3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4.25" customHeight="1" x14ac:dyDescent="0.3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4.25" customHeight="1" x14ac:dyDescent="0.3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4.25" customHeight="1" x14ac:dyDescent="0.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4.25" customHeight="1" x14ac:dyDescent="0.3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4.25" customHeight="1" x14ac:dyDescent="0.3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4.25" customHeight="1" x14ac:dyDescent="0.3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4.25" customHeight="1" x14ac:dyDescent="0.3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4.25" customHeight="1" x14ac:dyDescent="0.3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4.25" customHeight="1" x14ac:dyDescent="0.3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4.25" customHeight="1" x14ac:dyDescent="0.3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4.25" customHeight="1" x14ac:dyDescent="0.3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4.25" customHeight="1" x14ac:dyDescent="0.3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4.25" customHeight="1" x14ac:dyDescent="0.3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4.25" customHeight="1" x14ac:dyDescent="0.3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4.25" customHeight="1" x14ac:dyDescent="0.3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4.25" customHeight="1" x14ac:dyDescent="0.3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4.25" customHeight="1" x14ac:dyDescent="0.3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4.25" customHeight="1" x14ac:dyDescent="0.3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4.25" customHeight="1" x14ac:dyDescent="0.3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4.25" customHeight="1" x14ac:dyDescent="0.3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4.25" customHeight="1" x14ac:dyDescent="0.3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4.25" customHeight="1" x14ac:dyDescent="0.3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4.25" customHeight="1" x14ac:dyDescent="0.3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4.25" customHeight="1" x14ac:dyDescent="0.3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4.25" customHeight="1" x14ac:dyDescent="0.3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4.25" customHeight="1" x14ac:dyDescent="0.3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4.25" customHeight="1" x14ac:dyDescent="0.3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4.25" customHeight="1" x14ac:dyDescent="0.3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4.25" customHeight="1" x14ac:dyDescent="0.3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4.25" customHeight="1" x14ac:dyDescent="0.3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4.25" customHeight="1" x14ac:dyDescent="0.3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4.25" customHeight="1" x14ac:dyDescent="0.3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4.25" customHeight="1" x14ac:dyDescent="0.3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4.25" customHeight="1" x14ac:dyDescent="0.3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4.25" customHeight="1" x14ac:dyDescent="0.3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4.25" customHeight="1" x14ac:dyDescent="0.3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4.25" customHeight="1" x14ac:dyDescent="0.3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4.25" customHeight="1" x14ac:dyDescent="0.3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4.25" customHeight="1" x14ac:dyDescent="0.3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4.25" customHeight="1" x14ac:dyDescent="0.3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4.25" customHeight="1" x14ac:dyDescent="0.3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4.25" customHeight="1" x14ac:dyDescent="0.3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4.25" customHeight="1" x14ac:dyDescent="0.3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4.25" customHeight="1" x14ac:dyDescent="0.3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4.25" customHeight="1" x14ac:dyDescent="0.3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4.25" customHeight="1" x14ac:dyDescent="0.3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4.25" customHeight="1" x14ac:dyDescent="0.3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4.25" customHeight="1" x14ac:dyDescent="0.3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4.25" customHeight="1" x14ac:dyDescent="0.3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4.25" customHeight="1" x14ac:dyDescent="0.3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4.25" customHeight="1" x14ac:dyDescent="0.3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4.25" customHeight="1" x14ac:dyDescent="0.3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4.25" customHeight="1" x14ac:dyDescent="0.3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4.25" customHeight="1" x14ac:dyDescent="0.3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4.25" customHeight="1" x14ac:dyDescent="0.3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4.25" customHeight="1" x14ac:dyDescent="0.3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4.25" customHeight="1" x14ac:dyDescent="0.3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4.25" customHeight="1" x14ac:dyDescent="0.3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4.25" customHeight="1" x14ac:dyDescent="0.3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4.25" customHeight="1" x14ac:dyDescent="0.3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4.25" customHeight="1" x14ac:dyDescent="0.3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4.25" customHeight="1" x14ac:dyDescent="0.3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4.25" customHeight="1" x14ac:dyDescent="0.3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4.25" customHeight="1" x14ac:dyDescent="0.3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4.25" customHeight="1" x14ac:dyDescent="0.3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4.25" customHeight="1" x14ac:dyDescent="0.3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4.25" customHeight="1" x14ac:dyDescent="0.3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4.25" customHeight="1" x14ac:dyDescent="0.3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4.25" customHeight="1" x14ac:dyDescent="0.3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4.25" customHeight="1" x14ac:dyDescent="0.3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4.25" customHeight="1" x14ac:dyDescent="0.3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4.25" customHeight="1" x14ac:dyDescent="0.3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4.25" customHeight="1" x14ac:dyDescent="0.3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4.25" customHeight="1" x14ac:dyDescent="0.3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4.25" customHeight="1" x14ac:dyDescent="0.3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4.25" customHeight="1" x14ac:dyDescent="0.3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4.25" customHeight="1" x14ac:dyDescent="0.3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4.25" customHeight="1" x14ac:dyDescent="0.3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4.25" customHeight="1" x14ac:dyDescent="0.3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4.25" customHeight="1" x14ac:dyDescent="0.3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4.25" customHeight="1" x14ac:dyDescent="0.3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4.25" customHeight="1" x14ac:dyDescent="0.3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4.25" customHeight="1" x14ac:dyDescent="0.3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4.25" customHeight="1" x14ac:dyDescent="0.3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4.25" customHeight="1" x14ac:dyDescent="0.3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4.25" customHeight="1" x14ac:dyDescent="0.3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4.25" customHeight="1" x14ac:dyDescent="0.3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4.25" customHeight="1" x14ac:dyDescent="0.3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4.25" customHeight="1" x14ac:dyDescent="0.3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4.25" customHeight="1" x14ac:dyDescent="0.3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4.25" customHeight="1" x14ac:dyDescent="0.3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4.25" customHeight="1" x14ac:dyDescent="0.3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4.25" customHeight="1" x14ac:dyDescent="0.3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4.25" customHeight="1" x14ac:dyDescent="0.3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4.25" customHeight="1" x14ac:dyDescent="0.3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4.25" customHeight="1" x14ac:dyDescent="0.3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4.25" customHeight="1" x14ac:dyDescent="0.3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4.25" customHeight="1" x14ac:dyDescent="0.3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4.25" customHeight="1" x14ac:dyDescent="0.3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4.25" customHeight="1" x14ac:dyDescent="0.3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4.25" customHeight="1" x14ac:dyDescent="0.3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4.25" customHeight="1" x14ac:dyDescent="0.3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4.25" customHeight="1" x14ac:dyDescent="0.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4.25" customHeight="1" x14ac:dyDescent="0.3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4.25" customHeight="1" x14ac:dyDescent="0.3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4.25" customHeight="1" x14ac:dyDescent="0.3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4.25" customHeight="1" x14ac:dyDescent="0.3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4.25" customHeight="1" x14ac:dyDescent="0.3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4.25" customHeight="1" x14ac:dyDescent="0.3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4.25" customHeight="1" x14ac:dyDescent="0.3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4.25" customHeight="1" x14ac:dyDescent="0.3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4.25" customHeight="1" x14ac:dyDescent="0.3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4.25" customHeight="1" x14ac:dyDescent="0.3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</sheetData>
  <mergeCells count="71">
    <mergeCell ref="M130:N130"/>
    <mergeCell ref="G29:R29"/>
    <mergeCell ref="C1:Q2"/>
    <mergeCell ref="A3:A23"/>
    <mergeCell ref="B3:B4"/>
    <mergeCell ref="C3:E3"/>
    <mergeCell ref="F3:H3"/>
    <mergeCell ref="I3:K3"/>
    <mergeCell ref="L3:N3"/>
    <mergeCell ref="O3:Q3"/>
    <mergeCell ref="R3:T3"/>
    <mergeCell ref="G25:R25"/>
    <mergeCell ref="G26:R26"/>
    <mergeCell ref="G27:R27"/>
    <mergeCell ref="G28:R28"/>
    <mergeCell ref="G41:R41"/>
    <mergeCell ref="G30:R30"/>
    <mergeCell ref="G31:R31"/>
    <mergeCell ref="G32:R32"/>
    <mergeCell ref="G33:R33"/>
    <mergeCell ref="G34:R34"/>
    <mergeCell ref="G35:R35"/>
    <mergeCell ref="G36:R36"/>
    <mergeCell ref="G37:R37"/>
    <mergeCell ref="G38:R38"/>
    <mergeCell ref="G39:R39"/>
    <mergeCell ref="G40:R40"/>
    <mergeCell ref="G42:R42"/>
    <mergeCell ref="G43:R43"/>
    <mergeCell ref="B45:B47"/>
    <mergeCell ref="C45:Q45"/>
    <mergeCell ref="R45:T45"/>
    <mergeCell ref="C46:E46"/>
    <mergeCell ref="F46:H46"/>
    <mergeCell ref="I46:K46"/>
    <mergeCell ref="L46:N46"/>
    <mergeCell ref="O46:Q46"/>
    <mergeCell ref="X65:Z65"/>
    <mergeCell ref="AA65:AA83"/>
    <mergeCell ref="C66:E66"/>
    <mergeCell ref="F66:H66"/>
    <mergeCell ref="I66:K66"/>
    <mergeCell ref="L66:N66"/>
    <mergeCell ref="O66:Q66"/>
    <mergeCell ref="R66:T66"/>
    <mergeCell ref="U66:W66"/>
    <mergeCell ref="B65:B67"/>
    <mergeCell ref="C65:W65"/>
    <mergeCell ref="U45:U63"/>
    <mergeCell ref="B85:B87"/>
    <mergeCell ref="C85:H85"/>
    <mergeCell ref="I85:K85"/>
    <mergeCell ref="L85:L103"/>
    <mergeCell ref="C86:E86"/>
    <mergeCell ref="F86:H86"/>
    <mergeCell ref="O85:P85"/>
    <mergeCell ref="N94:V94"/>
    <mergeCell ref="N92:U92"/>
    <mergeCell ref="M87:S87"/>
    <mergeCell ref="B105:B107"/>
    <mergeCell ref="C105:H105"/>
    <mergeCell ref="I105:K105"/>
    <mergeCell ref="L105:L124"/>
    <mergeCell ref="C106:E106"/>
    <mergeCell ref="F106:H106"/>
    <mergeCell ref="B126:B128"/>
    <mergeCell ref="C126:H126"/>
    <mergeCell ref="I126:K126"/>
    <mergeCell ref="L126:L145"/>
    <mergeCell ref="C127:E127"/>
    <mergeCell ref="F127:H12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</dc:creator>
  <cp:lastModifiedBy>ELSIDDIG IBRAHIM</cp:lastModifiedBy>
  <dcterms:created xsi:type="dcterms:W3CDTF">2025-07-08T10:45:53Z</dcterms:created>
  <dcterms:modified xsi:type="dcterms:W3CDTF">2025-12-04T08:33:54Z</dcterms:modified>
</cp:coreProperties>
</file>